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<sst xmlns="http://schemas.openxmlformats.org/spreadsheetml/2006/main" count="164" uniqueCount="114">
  <si>
    <t>상품유형</t>
  </si>
  <si>
    <t>상품명</t>
  </si>
  <si>
    <t>링크</t>
  </si>
  <si>
    <t>제조사</t>
  </si>
  <si>
    <t>단가 (단위:원)</t>
  </si>
  <si>
    <t>BOM 수량</t>
  </si>
  <si>
    <t>소계 (단위:원)</t>
  </si>
  <si>
    <t>여유분</t>
  </si>
  <si>
    <t>비고</t>
  </si>
  <si>
    <t>영수증 기반 실구매가 계산</t>
  </si>
  <si>
    <t>SBC</t>
  </si>
  <si>
    <t>[NVIDIA] NVIDIA Jetson Nano Development Kit-B01</t>
  </si>
  <si>
    <t>https://www.devicemart.co.kr/goods/view?no=12513656</t>
  </si>
  <si>
    <t>NVIDIA</t>
  </si>
  <si>
    <t>제공되는 Kit 내 포함</t>
  </si>
  <si>
    <t>센서</t>
  </si>
  <si>
    <t>초음파 거리센서 모듈 HC-SR04 [SZH-EK004]</t>
  </si>
  <si>
    <t>https://www.devicemart.co.kr/goods/view?no=1076851</t>
  </si>
  <si>
    <t>OEM</t>
  </si>
  <si>
    <t>MPU-6050 6축 자이로 가속도 센서 모듈 GY-521 [SZH-EK007]</t>
  </si>
  <si>
    <t>MPU-6050 6축 자이로 가속도 센서 모듈 GY-521 [SZH-EK007] / 디바이스마트</t>
  </si>
  <si>
    <t>얘는 조립 강의 영상에서는 못 본거 같음</t>
  </si>
  <si>
    <t>전원부</t>
  </si>
  <si>
    <t>로커스위치(RL2-321/N-C-2-RE/BK)</t>
  </si>
  <si>
    <t>https://www.devicemart.co.kr/goods/view?no=10989</t>
  </si>
  <si>
    <t>RLEIL</t>
  </si>
  <si>
    <t>통신부</t>
  </si>
  <si>
    <t>[TP-LINK] Archer T2U Plus (무선랜카드/USB/633Mbps)</t>
  </si>
  <si>
    <t>https://www.devicemart.co.kr/goods/view?no=12382952</t>
  </si>
  <si>
    <t>TP-LINK</t>
  </si>
  <si>
    <t>XL4015</t>
  </si>
  <si>
    <r>
      <rPr>
        <color rgb="FF1155CC"/>
        <u/>
      </rPr>
      <t>XL4015 정전압 전류 강하형 벅 컨버터 모듈 DC-DC 5V-32V에서 0.8V-30V 5A 조정 리튬 배터리 충전기 보드 - AliExpress 502</t>
    </r>
  </si>
  <si>
    <t>배터리 7.4V -&gt; 모터드라이버 V+ 6V 변환에 사용 / 멀티미터 필요한 디스플레이 없는 버전, 멀티미터 필요 없는 디스플레이 버전 있음</t>
  </si>
  <si>
    <t>볼트/너트류</t>
  </si>
  <si>
    <t>SCM 유두머리 렌치볼트 M5x15</t>
  </si>
  <si>
    <t>https://www.devicemart.co.kr/goods/view?no=34499</t>
  </si>
  <si>
    <t>영상에서는 육각서포트로 젯슨나노 설치 위치 조정을 권장함. 10 + 15mm 사용</t>
  </si>
  <si>
    <t>스텐 유두머리 렌치볼트 M4x20</t>
  </si>
  <si>
    <t>https://www.devicemart.co.kr/goods/view?no=10912481</t>
  </si>
  <si>
    <t>나사는 필요한 거만 사려면 디바이스마트가 무조건 저렴할 듯</t>
  </si>
  <si>
    <t xml:space="preserve">유두머리 렌치볼트 (SUS) 머신스크류 M4*15 </t>
  </si>
  <si>
    <t>유두머리 렌치볼트 (SUS) 머신스크류 M4*15 / 디바이스마트</t>
  </si>
  <si>
    <t>너트 (니켈) M4</t>
  </si>
  <si>
    <t>너트 (니켈) M4 / 디바이스마트</t>
  </si>
  <si>
    <t xml:space="preserve">유두머리 렌치볼트 (SUS) 머신스크류 M3*20 </t>
  </si>
  <si>
    <t>https://www.devicemart.co.kr/goods/view?no=34536</t>
  </si>
  <si>
    <t>SCM 유두머리 렌치볼트 M3*10</t>
  </si>
  <si>
    <t>https://www.devicemart.co.kr/goods/view?no=34487</t>
  </si>
  <si>
    <t>너트 (니켈) M3</t>
  </si>
  <si>
    <t>https://www.devicemart.co.kr/goods/view?no=34324</t>
  </si>
  <si>
    <t>실구매가</t>
  </si>
  <si>
    <t>미니어처베어링-F625ZZ(플랜지타입)</t>
  </si>
  <si>
    <t>https://ko.aliexpress.com/item/1005006822749704.html?spm=a2g0o.productlist.main.1.eae85866TlLvW8&amp;algo_pvid=623d0327-4db3-4cc1-8f86-c75ac74ce824&amp;algo_exp_id=623d0327-4db3-4cc1-8f86-c75ac74ce824-0&amp;pdp_ext_f=%7B%22order%22%3A%22118%22%2C%22eval%22%3A%221%22%2C%22fromPage%22%3A%22search%22%7D&amp;pdp_npi=6%40dis%21KRW%217220%214260%21%21%2133.64%2119.85%21%402101590d17680580451706198e1a37%2112000038829774827%21sea%21KR%212855793728%21X%211%210%21n_tag%3A-29919%3Bd%3A4badb2de%3Bm03_new_user%3A-29895&amp;curPageLogUid=sMgR3BPU4RB2&amp;utparam-url=scene%3Asearch%7Cquery_from%3A%7Cx_object_id%3A1005006822749704%7C_p_origin_prod%3A</t>
  </si>
  <si>
    <t>모터 드라이버</t>
  </si>
  <si>
    <t>PCA9685 16채널 12비트 PWM 서보 드라이버 [TS0185]</t>
  </si>
  <si>
    <r>
      <rPr>
        <rFont val="Open Sans"/>
        <color rgb="FF0000FF"/>
        <sz val="12.0"/>
        <u/>
      </rPr>
      <t>1-10PCS PCA9685 PWM 서보 드라이버 보드 IIC 인터페이스 Arduino 로봇/라즈베리 파이용 16 채널 12 비트 PWM 서보 모터 드라이버 - AliExpress 502</t>
    </r>
  </si>
  <si>
    <t>V+ maximum is 6V</t>
  </si>
  <si>
    <t>베터리</t>
  </si>
  <si>
    <t>Tenanty 2S 5200mah LiPo Battery</t>
  </si>
  <si>
    <r>
      <rPr>
        <color rgb="FF1155CC"/>
        <u/>
      </rPr>
      <t>ko.aliexpress.com/item/1005008373440221.html?spm=a2g0o.order_list.order_list_main.25.21ef140fufWifV&amp;gatewayAdapt=glo2kor</t>
    </r>
  </si>
  <si>
    <t>모터드라이버 1개 당 1개씩 연결. 총 2개 필요 / 여유분은 못 살듯,,,</t>
  </si>
  <si>
    <t>서보 모터</t>
  </si>
  <si>
    <t>DS-3218mg pro</t>
  </si>
  <si>
    <r>
      <rPr>
        <rFont val="Open Sans"/>
        <color rgb="FF0000FF"/>
        <sz val="12.0"/>
        <u/>
      </rPr>
      <t>천원마트</t>
    </r>
  </si>
  <si>
    <t>cls6336hv 모델링이, hv5523mg 서보에도 호환. 회전각이 cls의 경우 180도, hv5523mg의 경우 120도 인데 괜찮나? / 짭일 가능성은 없나?</t>
  </si>
  <si>
    <t>XT60 14AWG 암/수 케이블</t>
  </si>
  <si>
    <r>
      <rPr>
        <color rgb="FF1155CC"/>
        <u/>
      </rPr>
      <t>XT60 1대2 1대3 병렬 배터리 커넥터 남성/여성 케이블 듀얼 연장 Y 스플리터 실리콘 와이어 14AWG RC 배터리 ESC용 - AliExpress 26</t>
    </r>
  </si>
  <si>
    <t>5.5mm * 2.5mm 배럴잭</t>
  </si>
  <si>
    <r>
      <rPr>
        <color rgb="FF1155CC"/>
        <u/>
      </rPr>
      <t>DC 암 수 전원 공급 커넥터 케이블, LED 스트립 라이트 카메라용 구리 코드, 18cm, 18awg, 7A, 5.5x2.1mm, 5.5x2.5mm, 2.1mm, 2.5mm - AliExpress 13</t>
    </r>
  </si>
  <si>
    <t>젯슨 전원공급 용</t>
  </si>
  <si>
    <t>12V 20A 어댑터</t>
  </si>
  <si>
    <r>
      <rPr>
        <color rgb="FF1155CC"/>
        <u/>
      </rPr>
      <t>AC-DC 110v/220v-12V 변환기 20A 240W 차량용 시거잭 소켓 AC/DC 차량용 전원 어댑터 (팽창기, 차량용 냉장고용) - AliExpress 34</t>
    </r>
  </si>
  <si>
    <t>젯슨 유선 전원공급 용</t>
  </si>
  <si>
    <t>IMAX B3 LiPo Battery charger</t>
  </si>
  <si>
    <r>
      <rPr>
        <color rgb="FF1155CC"/>
        <u/>
      </rPr>
      <t>ko.aliexpress.com/item/1005010437012399.html?spm=a2g0o.order_list.order_list_main.36.21ef140fufWifV&amp;gatewayAdapt=glo2kor</t>
    </r>
  </si>
  <si>
    <t>스테레오 카메라</t>
  </si>
  <si>
    <t>AI 로봇 공학 드론 개발 얼굴 인식 ORBBEC용 ASTRA Pro 깊이 카메라 0.6-8M 범위 - AliExpress 7</t>
  </si>
  <si>
    <t>ORBBEC</t>
  </si>
  <si>
    <t>배터리 - 모터드라이버 연결 등에 사용</t>
  </si>
  <si>
    <t>추가비용</t>
  </si>
  <si>
    <t>디바이스마트 택배비 및 부가세</t>
  </si>
  <si>
    <t>합계</t>
  </si>
  <si>
    <t>참고사항</t>
  </si>
  <si>
    <t>영상에서 발열 때문에 젯슨나노 보드를 밖에 빼서 사용하는 경우가 자주 확인</t>
  </si>
  <si>
    <t>원본 모델(by KDY)은 pybullet simulation repo가 존재함: isaac sim simulation에서도 참고할 수 있을까?</t>
  </si>
  <si>
    <t>마이크를 사용한다면 입 가까이 두는 것이 마이크 비용을 줄일 수 있을 것</t>
  </si>
  <si>
    <t>배터리도 규격이 통일된 젠더까지 함께 파는 다른 배터리를 사용 가능하다</t>
  </si>
  <si>
    <t>&gt;&gt;</t>
  </si>
  <si>
    <t>젯슨나노(4 lines)와 배터리(4l ines)를 밖으로 빼서 리드줄 줄감개 컨셉으로 하나 모델링한다</t>
  </si>
  <si>
    <t>electronics는 바디에 고정하지 않으므로, 정확히 동일한 부품을 구매할 필요는 없다</t>
  </si>
  <si>
    <t>배터리는 컨설턴트님한테 컨펌받고 국내배송 시키는 게 나을 듯</t>
  </si>
  <si>
    <t>여유분 나사 추가 구매 링크도 넣어놓긴 했음</t>
  </si>
  <si>
    <t>jetson orin nano: 100 mm × 79 mm × 약 21 mm / jetson nano dev kit  100 mm × 80 mm × 29 mm 사이즈는 거의 비슷함 / 아두이노 메가 101.52mm * 53.3mm</t>
  </si>
  <si>
    <t>디스플레이 없는 LM2596사면 멀티미터가 필요하다. 다만 디스플레이에 표시된 값을 신뢰할 수 있을지는 별도의 문제</t>
  </si>
  <si>
    <t>원본 링크</t>
  </si>
  <si>
    <t>https://www.devicemart.co.kr/goods/view?no=1241389</t>
  </si>
  <si>
    <t>NSK외</t>
  </si>
  <si>
    <t>https://www.devicemart.co.kr/goods/view?no=1382245</t>
  </si>
  <si>
    <t>SunFounder</t>
  </si>
  <si>
    <t>12,800</t>
  </si>
  <si>
    <t>LM2596 강하형 DC-DC 가변 컨버터 [SZH-PWSD-045]</t>
  </si>
  <si>
    <t>https://www.devicemart.co.kr/goods/view?no=1321982</t>
  </si>
  <si>
    <t>SMG-A</t>
  </si>
  <si>
    <t>3,000</t>
  </si>
  <si>
    <t>[파츠키츠] DC잭&amp;플러그변환케이블 전원코드 파워단자 22AWG - A type</t>
  </si>
  <si>
    <t>https://www.coupang.com/vp/products/249539823?vendorItemId=5001157295&amp;isAddedCart=</t>
  </si>
  <si>
    <t xml:space="preserve"> 애니써킷트레이딩</t>
  </si>
  <si>
    <t>[파츠키츠] XT60케이블 14AWG 드론 쿼드콥터 RC 배터리 - A type</t>
  </si>
  <si>
    <t>https://www.coupang.com/vp/products/249533303?vendorItemId=5001124630&amp;isAddedCart=#sdpReview</t>
  </si>
  <si>
    <t>니토무역 XT60 M2F 병렬 AWG12 케이블 분배 커넥터 RC카 드론</t>
  </si>
  <si>
    <t>https://www.coupang.com/vp/products/1465256481?vendorItemId=70512827124&amp;isAddedCart=</t>
  </si>
  <si>
    <t>주식회사 니토</t>
  </si>
  <si>
    <t xml:space="preserve">니토무역 XT60 F - T플러그 M 커넥터 배터리 킥보드 RC카 드론
</t>
  </si>
  <si>
    <t>https://www.coupang.com/vp/products/1489857991?vendorItemId=70550275799&amp;isAddedCart=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</si>
</sst>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2.0"/>
      <color rgb="FF000000"/>
      <name val="Calibri"/>
      <scheme val="minor"/>
    </font>
    <font>
      <sz val="12.0"/>
      <color rgb="FF000000"/>
      <name val="Open Sans"/>
    </font>
    <font>
      <sz val="12.0"/>
      <color theme="1"/>
      <name val="Open Sans"/>
    </font>
    <font>
      <color theme="1"/>
      <name val="Calibri"/>
      <scheme val="minor"/>
    </font>
    <font>
      <u/>
      <sz val="12.0"/>
      <color rgb="FF4A86E8"/>
      <name val="Open Sans"/>
    </font>
    <font>
      <sz val="12.0"/>
      <color rgb="FFFF0000"/>
      <name val="Open Sans"/>
    </font>
    <font>
      <u/>
      <sz val="12.0"/>
      <color rgb="FF4A86E8"/>
      <name val="Open Sans"/>
    </font>
    <font>
      <u/>
      <sz val="12.0"/>
      <color rgb="FF0000FF"/>
      <name val="Open Sans"/>
    </font>
    <font>
      <u/>
      <sz val="12.0"/>
      <color rgb="FF4A86E8"/>
      <name val="Open Sans"/>
    </font>
    <font>
      <u/>
      <sz val="12.0"/>
      <color rgb="FF4A86E8"/>
      <name val="Open Sans"/>
    </font>
    <font>
      <u/>
      <color rgb="FF0000FF"/>
    </font>
    <font>
      <u/>
      <sz val="12.0"/>
      <color rgb="FF0000FF"/>
      <name val="Open Sans"/>
    </font>
    <font>
      <u/>
      <color rgb="FF0000FF"/>
    </font>
    <font>
      <strike/>
      <sz val="12.0"/>
      <color theme="1"/>
      <name val="Open Sans"/>
    </font>
    <font>
      <strike/>
      <sz val="12.0"/>
      <color rgb="FF0000FF"/>
      <name val="Open Sans"/>
    </font>
    <font>
      <strike/>
      <sz val="12.0"/>
      <color rgb="FFFF0000"/>
      <name val="Open Sans"/>
    </font>
    <font>
      <b/>
      <sz val="12.0"/>
      <color theme="1"/>
      <name val="Open Sans"/>
    </font>
    <font>
      <b/>
      <color theme="1"/>
      <name val="Calibri"/>
      <scheme val="minor"/>
    </font>
    <font>
      <sz val="12.0"/>
      <color rgb="FF3F4350"/>
      <name val="Calibri"/>
      <scheme val="minor"/>
    </font>
    <font>
      <b/>
      <sz val="12.0"/>
      <color theme="1"/>
      <name val="Calibri"/>
      <scheme val="minor"/>
    </font>
    <font>
      <sz val="12.0"/>
      <color rgb="FFFF0000"/>
      <name val="Calibri"/>
      <scheme val="minor"/>
    </font>
    <font>
      <u/>
      <sz val="12.0"/>
      <color rgb="FFFF0000"/>
    </font>
    <font>
      <u/>
      <sz val="12.0"/>
      <color rgb="FFFF0000"/>
    </font>
    <font>
      <u/>
      <sz val="12.0"/>
      <color rgb="FF4A86E8"/>
    </font>
    <font>
      <u/>
      <sz val="12.0"/>
      <color rgb="FF4A86E8"/>
    </font>
    <font>
      <u/>
      <color rgb="FF1155CC"/>
    </font>
    <font>
      <u/>
      <sz val="12.0"/>
      <color rgb="FF4A86E8"/>
      <name val="Calibri"/>
      <scheme val="minor"/>
    </font>
    <font>
      <sz val="11.0"/>
      <color rgb="FF000000"/>
      <name val="Arial"/>
    </font>
    <font>
      <sz val="12.0"/>
      <color rgb="FF4A86E8"/>
      <name val="Calibri"/>
      <scheme val="minor"/>
    </font>
    <font>
      <u/>
      <color rgb="FF1155CC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</fills>
  <borders count="49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left style="hair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bottom style="hair">
        <color rgb="FF000000"/>
      </bottom>
    </border>
    <border>
      <left style="thick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</border>
    <border>
      <left style="thick">
        <color rgb="FF000000"/>
      </left>
      <top style="double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top style="hair">
        <color rgb="FF000000"/>
      </top>
      <bottom style="hair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hair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hair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dotted">
        <color rgb="FF000000"/>
      </righ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tted">
        <color rgb="FF000000"/>
      </right>
    </border>
    <border>
      <right style="thick">
        <color rgb="FF000000"/>
      </right>
    </border>
    <border>
      <left style="thick">
        <color rgb="FF000000"/>
      </left>
      <right style="dotted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double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Border="1" applyFont="1"/>
    <xf borderId="3" fillId="0" fontId="1" numFmtId="0" xfId="0" applyAlignment="1" applyBorder="1" applyFont="1">
      <alignment shrinkToFit="0" wrapText="0"/>
    </xf>
    <xf borderId="3" fillId="0" fontId="1" numFmtId="3" xfId="0" applyAlignment="1" applyBorder="1" applyFont="1" applyNumberFormat="1">
      <alignment horizontal="left"/>
    </xf>
    <xf borderId="3" fillId="0" fontId="1" numFmtId="3" xfId="0" applyBorder="1" applyFont="1" applyNumberFormat="1"/>
    <xf borderId="4" fillId="0" fontId="1" numFmtId="3" xfId="0" applyBorder="1" applyFont="1" applyNumberFormat="1"/>
    <xf borderId="5" fillId="0" fontId="1" numFmtId="0" xfId="0" applyAlignment="1" applyBorder="1" applyFont="1">
      <alignment readingOrder="0"/>
    </xf>
    <xf borderId="6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7" fillId="0" fontId="3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2" fontId="1" numFmtId="0" xfId="0" applyAlignment="1" applyBorder="1" applyFill="1" applyFont="1">
      <alignment readingOrder="0"/>
    </xf>
    <xf borderId="10" fillId="2" fontId="1" numFmtId="0" xfId="0" applyAlignment="1" applyBorder="1" applyFont="1">
      <alignment readingOrder="0"/>
    </xf>
    <xf borderId="10" fillId="2" fontId="4" numFmtId="0" xfId="0" applyAlignment="1" applyBorder="1" applyFont="1">
      <alignment readingOrder="0" shrinkToFit="0" wrapText="0"/>
    </xf>
    <xf borderId="10" fillId="2" fontId="1" numFmtId="3" xfId="0" applyAlignment="1" applyBorder="1" applyFont="1" applyNumberFormat="1">
      <alignment horizontal="left" readingOrder="0"/>
    </xf>
    <xf borderId="11" fillId="2" fontId="1" numFmtId="3" xfId="0" applyAlignment="1" applyBorder="1" applyFont="1" applyNumberFormat="1">
      <alignment horizontal="left" readingOrder="0"/>
    </xf>
    <xf borderId="12" fillId="0" fontId="1" numFmtId="0" xfId="0" applyAlignment="1" applyBorder="1" applyFont="1">
      <alignment readingOrder="0"/>
    </xf>
    <xf borderId="13" fillId="0" fontId="2" numFmtId="0" xfId="0" applyAlignment="1" applyBorder="1" applyFont="1">
      <alignment readingOrder="0" shrinkToFit="0" wrapText="1"/>
    </xf>
    <xf borderId="14" fillId="0" fontId="2" numFmtId="0" xfId="0" applyAlignment="1" applyBorder="1" applyFont="1">
      <alignment readingOrder="0" shrinkToFit="0" wrapText="1"/>
    </xf>
    <xf borderId="15" fillId="0" fontId="5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7" fillId="0" fontId="1" numFmtId="0" xfId="0" applyBorder="1" applyFont="1"/>
    <xf borderId="17" fillId="0" fontId="6" numFmtId="0" xfId="0" applyAlignment="1" applyBorder="1" applyFont="1">
      <alignment readingOrder="0" shrinkToFit="0" wrapText="0"/>
    </xf>
    <xf borderId="17" fillId="0" fontId="1" numFmtId="3" xfId="0" applyAlignment="1" applyBorder="1" applyFont="1" applyNumberFormat="1">
      <alignment horizontal="left" readingOrder="0"/>
    </xf>
    <xf borderId="18" fillId="0" fontId="1" numFmtId="3" xfId="0" applyAlignment="1" applyBorder="1" applyFont="1" applyNumberFormat="1">
      <alignment horizontal="left" readingOrder="0"/>
    </xf>
    <xf borderId="19" fillId="0" fontId="5" numFmtId="0" xfId="0" applyAlignment="1" applyBorder="1" applyFont="1">
      <alignment readingOrder="0"/>
    </xf>
    <xf borderId="20" fillId="0" fontId="2" numFmtId="0" xfId="0" applyAlignment="1" applyBorder="1" applyFont="1">
      <alignment shrinkToFit="0" wrapText="1"/>
    </xf>
    <xf borderId="15" fillId="0" fontId="1" numFmtId="0" xfId="0" applyAlignment="1" applyBorder="1" applyFont="1">
      <alignment readingOrder="0"/>
    </xf>
    <xf borderId="16" fillId="3" fontId="1" numFmtId="0" xfId="0" applyAlignment="1" applyBorder="1" applyFill="1" applyFont="1">
      <alignment readingOrder="0"/>
    </xf>
    <xf borderId="17" fillId="3" fontId="1" numFmtId="0" xfId="0" applyBorder="1" applyFont="1"/>
    <xf borderId="17" fillId="3" fontId="7" numFmtId="0" xfId="0" applyAlignment="1" applyBorder="1" applyFont="1">
      <alignment readingOrder="0" shrinkToFit="0" wrapText="0"/>
    </xf>
    <xf borderId="17" fillId="3" fontId="1" numFmtId="3" xfId="0" applyAlignment="1" applyBorder="1" applyFont="1" applyNumberFormat="1">
      <alignment horizontal="left" readingOrder="0"/>
    </xf>
    <xf borderId="18" fillId="3" fontId="1" numFmtId="3" xfId="0" applyAlignment="1" applyBorder="1" applyFont="1" applyNumberFormat="1">
      <alignment horizontal="left"/>
    </xf>
    <xf borderId="19" fillId="0" fontId="1" numFmtId="0" xfId="0" applyAlignment="1" applyBorder="1" applyFont="1">
      <alignment readingOrder="0"/>
    </xf>
    <xf borderId="20" fillId="0" fontId="2" numFmtId="0" xfId="0" applyAlignment="1" applyBorder="1" applyFont="1">
      <alignment readingOrder="0" shrinkToFit="0" wrapText="1"/>
    </xf>
    <xf borderId="17" fillId="3" fontId="8" numFmtId="0" xfId="0" applyAlignment="1" applyBorder="1" applyFont="1">
      <alignment readingOrder="0" shrinkToFit="0" wrapText="0"/>
    </xf>
    <xf borderId="17" fillId="3" fontId="1" numFmtId="3" xfId="0" applyAlignment="1" applyBorder="1" applyFont="1" applyNumberFormat="1">
      <alignment horizontal="left"/>
    </xf>
    <xf borderId="21" fillId="0" fontId="2" numFmtId="0" xfId="0" applyAlignment="1" applyBorder="1" applyFont="1">
      <alignment shrinkToFit="0" wrapText="1"/>
    </xf>
    <xf borderId="16" fillId="2" fontId="1" numFmtId="0" xfId="0" applyAlignment="1" applyBorder="1" applyFont="1">
      <alignment readingOrder="0"/>
    </xf>
    <xf borderId="17" fillId="2" fontId="1" numFmtId="0" xfId="0" applyAlignment="1" applyBorder="1" applyFont="1">
      <alignment readingOrder="0"/>
    </xf>
    <xf borderId="17" fillId="2" fontId="9" numFmtId="0" xfId="0" applyAlignment="1" applyBorder="1" applyFont="1">
      <alignment readingOrder="0" shrinkToFit="0" wrapText="0"/>
    </xf>
    <xf borderId="17" fillId="2" fontId="1" numFmtId="3" xfId="0" applyAlignment="1" applyBorder="1" applyFont="1" applyNumberFormat="1">
      <alignment horizontal="left" readingOrder="0"/>
    </xf>
    <xf borderId="18" fillId="2" fontId="1" numFmtId="3" xfId="0" applyAlignment="1" applyBorder="1" applyFont="1" applyNumberFormat="1">
      <alignment horizontal="left"/>
    </xf>
    <xf borderId="14" fillId="0" fontId="2" numFmtId="0" xfId="0" applyAlignment="1" applyBorder="1" applyFont="1">
      <alignment readingOrder="0" shrinkToFit="0" wrapText="1"/>
    </xf>
    <xf borderId="17" fillId="3" fontId="1" numFmtId="0" xfId="0" applyAlignment="1" applyBorder="1" applyFont="1">
      <alignment horizontal="left" readingOrder="0"/>
    </xf>
    <xf borderId="0" fillId="0" fontId="10" numFmtId="0" xfId="0" applyAlignment="1" applyFont="1">
      <alignment readingOrder="0" shrinkToFit="0" wrapText="0"/>
    </xf>
    <xf borderId="17" fillId="0" fontId="1" numFmtId="0" xfId="0" applyAlignment="1" applyBorder="1" applyFont="1">
      <alignment readingOrder="0"/>
    </xf>
    <xf borderId="20" fillId="0" fontId="2" numFmtId="0" xfId="0" applyAlignment="1" applyBorder="1" applyFont="1">
      <alignment readingOrder="0" shrinkToFit="0" wrapText="1"/>
    </xf>
    <xf borderId="14" fillId="0" fontId="3" numFmtId="0" xfId="0" applyBorder="1" applyFont="1"/>
    <xf borderId="22" fillId="4" fontId="2" numFmtId="0" xfId="0" applyAlignment="1" applyBorder="1" applyFill="1" applyFont="1">
      <alignment readingOrder="0" shrinkToFit="0" wrapText="1"/>
    </xf>
    <xf borderId="23" fillId="4" fontId="3" numFmtId="0" xfId="0" applyBorder="1" applyFont="1"/>
    <xf borderId="17" fillId="3" fontId="11" numFmtId="0" xfId="0" applyAlignment="1" applyBorder="1" applyFont="1">
      <alignment readingOrder="0" shrinkToFit="0" wrapText="0"/>
    </xf>
    <xf borderId="17" fillId="3" fontId="1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15" fillId="0" fontId="2" numFmtId="0" xfId="0" applyBorder="1" applyFont="1"/>
    <xf borderId="17" fillId="3" fontId="1" numFmtId="3" xfId="0" applyAlignment="1" applyBorder="1" applyFont="1" applyNumberFormat="1">
      <alignment readingOrder="0"/>
    </xf>
    <xf borderId="19" fillId="0" fontId="2" numFmtId="0" xfId="0" applyAlignment="1" applyBorder="1" applyFont="1">
      <alignment readingOrder="0"/>
    </xf>
    <xf borderId="15" fillId="0" fontId="3" numFmtId="0" xfId="0" applyBorder="1" applyFont="1"/>
    <xf borderId="16" fillId="0" fontId="13" numFmtId="0" xfId="0" applyAlignment="1" applyBorder="1" applyFont="1">
      <alignment readingOrder="0"/>
    </xf>
    <xf borderId="17" fillId="0" fontId="13" numFmtId="0" xfId="0" applyAlignment="1" applyBorder="1" applyFont="1">
      <alignment readingOrder="0"/>
    </xf>
    <xf borderId="17" fillId="0" fontId="14" numFmtId="0" xfId="0" applyAlignment="1" applyBorder="1" applyFont="1">
      <alignment shrinkToFit="0" wrapText="0"/>
    </xf>
    <xf borderId="17" fillId="0" fontId="13" numFmtId="0" xfId="0" applyBorder="1" applyFont="1"/>
    <xf borderId="17" fillId="0" fontId="13" numFmtId="3" xfId="0" applyBorder="1" applyFont="1" applyNumberFormat="1"/>
    <xf borderId="19" fillId="0" fontId="3" numFmtId="0" xfId="0" applyAlignment="1" applyBorder="1" applyFont="1">
      <alignment readingOrder="0"/>
    </xf>
    <xf borderId="15" fillId="0" fontId="2" numFmtId="0" xfId="0" applyAlignment="1" applyBorder="1" applyFont="1">
      <alignment readingOrder="0"/>
    </xf>
    <xf borderId="16" fillId="0" fontId="15" numFmtId="0" xfId="0" applyAlignment="1" applyBorder="1" applyFont="1">
      <alignment readingOrder="0"/>
    </xf>
    <xf borderId="17" fillId="0" fontId="15" numFmtId="0" xfId="0" applyAlignment="1" applyBorder="1" applyFont="1">
      <alignment readingOrder="0"/>
    </xf>
    <xf borderId="17" fillId="0" fontId="15" numFmtId="0" xfId="0" applyAlignment="1" applyBorder="1" applyFont="1">
      <alignment readingOrder="0" shrinkToFit="0" wrapText="0"/>
    </xf>
    <xf borderId="17" fillId="0" fontId="15" numFmtId="0" xfId="0" applyBorder="1" applyFont="1"/>
    <xf borderId="17" fillId="0" fontId="15" numFmtId="3" xfId="0" applyAlignment="1" applyBorder="1" applyFont="1" applyNumberFormat="1">
      <alignment readingOrder="0"/>
    </xf>
    <xf borderId="24" fillId="0" fontId="1" numFmtId="0" xfId="0" applyAlignment="1" applyBorder="1" applyFont="1">
      <alignment readingOrder="0"/>
    </xf>
    <xf borderId="25" fillId="0" fontId="2" numFmtId="0" xfId="0" applyAlignment="1" applyBorder="1" applyFont="1">
      <alignment readingOrder="0"/>
    </xf>
    <xf borderId="26" fillId="0" fontId="2" numFmtId="0" xfId="0" applyAlignment="1" applyBorder="1" applyFont="1">
      <alignment readingOrder="0"/>
    </xf>
    <xf borderId="26" fillId="0" fontId="2" numFmtId="0" xfId="0" applyAlignment="1" applyBorder="1" applyFont="1">
      <alignment shrinkToFit="0" wrapText="0"/>
    </xf>
    <xf borderId="26" fillId="0" fontId="2" numFmtId="0" xfId="0" applyBorder="1" applyFont="1"/>
    <xf borderId="26" fillId="0" fontId="2" numFmtId="3" xfId="0" applyAlignment="1" applyBorder="1" applyFont="1" applyNumberFormat="1">
      <alignment readingOrder="0"/>
    </xf>
    <xf borderId="27" fillId="0" fontId="2" numFmtId="3" xfId="0" applyAlignment="1" applyBorder="1" applyFont="1" applyNumberFormat="1">
      <alignment readingOrder="0"/>
    </xf>
    <xf borderId="28" fillId="3" fontId="1" numFmtId="3" xfId="0" applyAlignment="1" applyBorder="1" applyFont="1" applyNumberFormat="1">
      <alignment horizontal="left"/>
    </xf>
    <xf borderId="29" fillId="0" fontId="1" numFmtId="0" xfId="0" applyAlignment="1" applyBorder="1" applyFont="1">
      <alignment readingOrder="0"/>
    </xf>
    <xf borderId="30" fillId="0" fontId="2" numFmtId="0" xfId="0" applyAlignment="1" applyBorder="1" applyFont="1">
      <alignment shrinkToFit="0" wrapText="1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shrinkToFit="0" wrapText="0"/>
    </xf>
    <xf borderId="0" fillId="0" fontId="2" numFmtId="3" xfId="0" applyFont="1" applyNumberFormat="1"/>
    <xf borderId="31" fillId="5" fontId="16" numFmtId="3" xfId="0" applyAlignment="1" applyBorder="1" applyFill="1" applyFont="1" applyNumberFormat="1">
      <alignment horizontal="left" readingOrder="0"/>
    </xf>
    <xf borderId="32" fillId="5" fontId="2" numFmtId="3" xfId="0" applyAlignment="1" applyBorder="1" applyFont="1" applyNumberFormat="1">
      <alignment horizontal="left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wrapText="1"/>
    </xf>
    <xf borderId="0" fillId="0" fontId="0" numFmtId="0" xfId="0" applyAlignment="1" applyFont="1">
      <alignment readingOrder="0"/>
    </xf>
    <xf borderId="0" fillId="0" fontId="3" numFmtId="3" xfId="0" applyFont="1" applyNumberFormat="1"/>
    <xf borderId="33" fillId="2" fontId="17" numFmtId="0" xfId="0" applyAlignment="1" applyBorder="1" applyFont="1">
      <alignment readingOrder="0"/>
    </xf>
    <xf borderId="34" fillId="0" fontId="3" numFmtId="0" xfId="0" applyAlignment="1" applyBorder="1" applyFont="1">
      <alignment readingOrder="0"/>
    </xf>
    <xf borderId="35" fillId="3" fontId="18" numFmtId="0" xfId="0" applyAlignment="1" applyBorder="1" applyFont="1">
      <alignment horizontal="left" readingOrder="0"/>
    </xf>
    <xf borderId="35" fillId="0" fontId="3" numFmtId="0" xfId="0" applyAlignment="1" applyBorder="1" applyFont="1">
      <alignment shrinkToFit="0" wrapText="0"/>
    </xf>
    <xf borderId="35" fillId="0" fontId="3" numFmtId="0" xfId="0" applyBorder="1" applyFont="1"/>
    <xf borderId="35" fillId="0" fontId="3" numFmtId="3" xfId="0" applyBorder="1" applyFont="1" applyNumberFormat="1"/>
    <xf borderId="36" fillId="0" fontId="3" numFmtId="3" xfId="0" applyBorder="1" applyFont="1" applyNumberFormat="1"/>
    <xf borderId="37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38" fillId="0" fontId="3" numFmtId="3" xfId="0" applyBorder="1" applyFont="1" applyNumberFormat="1"/>
    <xf borderId="39" fillId="0" fontId="3" numFmtId="0" xfId="0" applyAlignment="1" applyBorder="1" applyFont="1">
      <alignment readingOrder="0"/>
    </xf>
    <xf borderId="40" fillId="0" fontId="3" numFmtId="0" xfId="0" applyAlignment="1" applyBorder="1" applyFont="1">
      <alignment readingOrder="0"/>
    </xf>
    <xf borderId="40" fillId="0" fontId="3" numFmtId="0" xfId="0" applyAlignment="1" applyBorder="1" applyFont="1">
      <alignment shrinkToFit="0" wrapText="0"/>
    </xf>
    <xf borderId="40" fillId="0" fontId="3" numFmtId="0" xfId="0" applyBorder="1" applyFont="1"/>
    <xf borderId="40" fillId="0" fontId="3" numFmtId="3" xfId="0" applyBorder="1" applyFont="1" applyNumberFormat="1"/>
    <xf borderId="41" fillId="0" fontId="3" numFmtId="3" xfId="0" applyBorder="1" applyFont="1" applyNumberFormat="1"/>
    <xf borderId="33" fillId="2" fontId="19" numFmtId="0" xfId="0" applyAlignment="1" applyBorder="1" applyFont="1">
      <alignment readingOrder="0"/>
    </xf>
    <xf borderId="0" fillId="0" fontId="3" numFmtId="3" xfId="0" applyAlignment="1" applyFont="1" applyNumberFormat="1">
      <alignment horizontal="left"/>
    </xf>
    <xf borderId="42" fillId="0" fontId="0" numFmtId="0" xfId="0" applyAlignment="1" applyBorder="1" applyFont="1">
      <alignment readingOrder="0"/>
    </xf>
    <xf borderId="43" fillId="0" fontId="0" numFmtId="0" xfId="0" applyBorder="1" applyFont="1"/>
    <xf borderId="43" fillId="0" fontId="0" numFmtId="0" xfId="0" applyAlignment="1" applyBorder="1" applyFont="1">
      <alignment shrinkToFit="0" wrapText="0"/>
    </xf>
    <xf borderId="43" fillId="0" fontId="0" numFmtId="3" xfId="0" applyAlignment="1" applyBorder="1" applyFont="1" applyNumberFormat="1">
      <alignment horizontal="left"/>
    </xf>
    <xf borderId="43" fillId="0" fontId="0" numFmtId="3" xfId="0" applyBorder="1" applyFont="1" applyNumberFormat="1"/>
    <xf borderId="44" fillId="0" fontId="0" numFmtId="3" xfId="0" applyBorder="1" applyFont="1" applyNumberFormat="1"/>
    <xf borderId="45" fillId="0" fontId="20" numFmtId="0" xfId="0" applyAlignment="1" applyBorder="1" applyFont="1">
      <alignment readingOrder="0"/>
    </xf>
    <xf borderId="46" fillId="0" fontId="20" numFmtId="0" xfId="0" applyBorder="1" applyFont="1"/>
    <xf borderId="46" fillId="0" fontId="21" numFmtId="0" xfId="0" applyAlignment="1" applyBorder="1" applyFont="1">
      <alignment readingOrder="0" shrinkToFit="0" wrapText="0"/>
    </xf>
    <xf borderId="46" fillId="0" fontId="20" numFmtId="3" xfId="0" applyAlignment="1" applyBorder="1" applyFont="1" applyNumberFormat="1">
      <alignment horizontal="left" readingOrder="0"/>
    </xf>
    <xf borderId="46" fillId="0" fontId="20" numFmtId="3" xfId="0" applyAlignment="1" applyBorder="1" applyFont="1" applyNumberFormat="1">
      <alignment horizontal="left"/>
    </xf>
    <xf borderId="47" fillId="0" fontId="20" numFmtId="3" xfId="0" applyAlignment="1" applyBorder="1" applyFont="1" applyNumberFormat="1">
      <alignment horizontal="left"/>
    </xf>
    <xf borderId="16" fillId="0" fontId="20" numFmtId="0" xfId="0" applyAlignment="1" applyBorder="1" applyFont="1">
      <alignment readingOrder="0"/>
    </xf>
    <xf borderId="17" fillId="0" fontId="20" numFmtId="0" xfId="0" applyBorder="1" applyFont="1"/>
    <xf borderId="17" fillId="0" fontId="22" numFmtId="0" xfId="0" applyAlignment="1" applyBorder="1" applyFont="1">
      <alignment readingOrder="0" shrinkToFit="0" wrapText="0"/>
    </xf>
    <xf borderId="17" fillId="0" fontId="20" numFmtId="3" xfId="0" applyAlignment="1" applyBorder="1" applyFont="1" applyNumberFormat="1">
      <alignment horizontal="left"/>
    </xf>
    <xf borderId="17" fillId="0" fontId="20" numFmtId="3" xfId="0" applyAlignment="1" applyBorder="1" applyFont="1" applyNumberFormat="1">
      <alignment horizontal="left" readingOrder="0"/>
    </xf>
    <xf borderId="18" fillId="0" fontId="20" numFmtId="3" xfId="0" applyAlignment="1" applyBorder="1" applyFont="1" applyNumberFormat="1">
      <alignment horizontal="left"/>
    </xf>
    <xf borderId="16" fillId="0" fontId="0" numFmtId="0" xfId="0" applyAlignment="1" applyBorder="1" applyFont="1">
      <alignment readingOrder="0"/>
    </xf>
    <xf borderId="17" fillId="0" fontId="0" numFmtId="0" xfId="0" applyAlignment="1" applyBorder="1" applyFont="1">
      <alignment readingOrder="0"/>
    </xf>
    <xf borderId="17" fillId="0" fontId="23" numFmtId="0" xfId="0" applyAlignment="1" applyBorder="1" applyFont="1">
      <alignment readingOrder="0" shrinkToFit="0" wrapText="0"/>
    </xf>
    <xf borderId="17" fillId="0" fontId="0" numFmtId="3" xfId="0" applyAlignment="1" applyBorder="1" applyFont="1" applyNumberFormat="1">
      <alignment horizontal="left" readingOrder="0"/>
    </xf>
    <xf borderId="18" fillId="0" fontId="0" numFmtId="3" xfId="0" applyAlignment="1" applyBorder="1" applyFont="1" applyNumberFormat="1">
      <alignment horizontal="left"/>
    </xf>
    <xf borderId="17" fillId="0" fontId="24" numFmtId="0" xfId="0" applyAlignment="1" applyBorder="1" applyFont="1">
      <alignment readingOrder="0" shrinkToFit="0" wrapText="0"/>
    </xf>
    <xf borderId="17" fillId="3" fontId="0" numFmtId="0" xfId="0" applyAlignment="1" applyBorder="1" applyFont="1">
      <alignment readingOrder="0"/>
    </xf>
    <xf borderId="27" fillId="0" fontId="3" numFmtId="0" xfId="0" applyAlignment="1" applyBorder="1" applyFont="1">
      <alignment readingOrder="0"/>
    </xf>
    <xf borderId="27" fillId="0" fontId="25" numFmtId="0" xfId="0" applyAlignment="1" applyBorder="1" applyFont="1">
      <alignment readingOrder="0" shrinkToFit="0" wrapText="0"/>
    </xf>
    <xf borderId="27" fillId="3" fontId="0" numFmtId="0" xfId="0" applyAlignment="1" applyBorder="1" applyFont="1">
      <alignment readingOrder="0"/>
    </xf>
    <xf borderId="27" fillId="3" fontId="0" numFmtId="3" xfId="0" applyAlignment="1" applyBorder="1" applyFont="1" applyNumberFormat="1">
      <alignment horizontal="left" readingOrder="0"/>
    </xf>
    <xf borderId="27" fillId="0" fontId="3" numFmtId="3" xfId="0" applyAlignment="1" applyBorder="1" applyFont="1" applyNumberFormat="1">
      <alignment horizontal="left" readingOrder="0"/>
    </xf>
    <xf borderId="0" fillId="0" fontId="3" numFmtId="0" xfId="0" applyAlignment="1" applyFont="1">
      <alignment readingOrder="0" shrinkToFit="0" wrapText="1"/>
    </xf>
    <xf borderId="17" fillId="0" fontId="0" numFmtId="0" xfId="0" applyBorder="1" applyFont="1"/>
    <xf borderId="17" fillId="0" fontId="26" numFmtId="0" xfId="0" applyAlignment="1" applyBorder="1" applyFont="1">
      <alignment readingOrder="0" shrinkToFit="0" wrapText="0"/>
    </xf>
    <xf borderId="17" fillId="0" fontId="0" numFmtId="3" xfId="0" applyAlignment="1" applyBorder="1" applyFont="1" applyNumberFormat="1">
      <alignment horizontal="left"/>
    </xf>
    <xf borderId="18" fillId="0" fontId="0" numFmtId="3" xfId="0" applyAlignment="1" applyBorder="1" applyFont="1" applyNumberFormat="1">
      <alignment horizontal="left" readingOrder="0"/>
    </xf>
    <xf borderId="47" fillId="0" fontId="0" numFmtId="3" xfId="0" applyAlignment="1" applyBorder="1" applyFont="1" applyNumberFormat="1">
      <alignment horizontal="left" readingOrder="0"/>
    </xf>
    <xf borderId="0" fillId="0" fontId="27" numFmtId="0" xfId="0" applyAlignment="1" applyFont="1">
      <alignment readingOrder="0"/>
    </xf>
    <xf borderId="17" fillId="0" fontId="28" numFmtId="0" xfId="0" applyAlignment="1" applyBorder="1" applyFont="1">
      <alignment readingOrder="0" shrinkToFit="0" wrapText="0"/>
    </xf>
    <xf borderId="25" fillId="0" fontId="0" numFmtId="0" xfId="0" applyAlignment="1" applyBorder="1" applyFont="1">
      <alignment readingOrder="0"/>
    </xf>
    <xf borderId="26" fillId="0" fontId="3" numFmtId="0" xfId="0" applyAlignment="1" applyBorder="1" applyFont="1">
      <alignment readingOrder="0"/>
    </xf>
    <xf borderId="26" fillId="0" fontId="29" numFmtId="0" xfId="0" applyAlignment="1" applyBorder="1" applyFont="1">
      <alignment readingOrder="0" shrinkToFit="0" wrapText="0"/>
    </xf>
    <xf borderId="26" fillId="3" fontId="0" numFmtId="0" xfId="0" applyAlignment="1" applyBorder="1" applyFont="1">
      <alignment readingOrder="0"/>
    </xf>
    <xf borderId="26" fillId="3" fontId="0" numFmtId="3" xfId="0" applyAlignment="1" applyBorder="1" applyFont="1" applyNumberFormat="1">
      <alignment horizontal="left" readingOrder="0"/>
    </xf>
    <xf borderId="48" fillId="0" fontId="0" numFmtId="3" xfId="0" applyAlignment="1" applyBorder="1" applyFont="1" applyNumberFormat="1">
      <alignment horizontal="left" readingOrder="0"/>
    </xf>
    <xf borderId="35" fillId="0" fontId="3" numFmtId="3" xfId="0" applyAlignment="1" applyBorder="1" applyFont="1" applyNumberFormat="1">
      <alignment horizontal="left" readingOrder="0"/>
    </xf>
    <xf borderId="35" fillId="0" fontId="3" numFmtId="3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447675</xdr:colOff>
      <xdr:row>29</xdr:row>
      <xdr:rowOff>419100</xdr:rowOff>
    </xdr:from>
    <xdr:ext cx="4886325" cy="36004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ko.aliexpress.com/item/1005009812003789.html?spm=a2g0o.order_list.order_list_main.20.21ef140fufWifV&amp;gatewayAdapt=glo2kor" TargetMode="External"/><Relationship Id="rId22" Type="http://schemas.openxmlformats.org/officeDocument/2006/relationships/hyperlink" Target="https://ko.aliexpress.com/item/1005007607577238.html?spm=a2g0o.cart.0.0.693f5ea2DRwDtw&amp;mp=1&amp;pdp_npi=6%40dis%21KRW%21KRW%20106800%21KRW%20106800%21%21KRW%20101452%21%21%21%40212e520f17681363215222913e1ef2%2112000041485575057%21ct%21KR%212855793728%21%211%210%21&amp;gatewayAdapt=glo2kor" TargetMode="External"/><Relationship Id="rId21" Type="http://schemas.openxmlformats.org/officeDocument/2006/relationships/hyperlink" Target="https://ko.aliexpress.com/item/1005010437012399.html?spm=a2g0o.order_list.order_list_main.36.21ef140fufWifV&amp;gatewayAdapt=glo2kor" TargetMode="External"/><Relationship Id="rId24" Type="http://schemas.openxmlformats.org/officeDocument/2006/relationships/hyperlink" Target="https://www.devicemart.co.kr/goods/view?no=1382245" TargetMode="External"/><Relationship Id="rId23" Type="http://schemas.openxmlformats.org/officeDocument/2006/relationships/hyperlink" Target="https://www.devicemart.co.kr/goods/view?no=1241389" TargetMode="External"/><Relationship Id="rId1" Type="http://schemas.openxmlformats.org/officeDocument/2006/relationships/hyperlink" Target="https://www.devicemart.co.kr/goods/view?no=12513656" TargetMode="External"/><Relationship Id="rId2" Type="http://schemas.openxmlformats.org/officeDocument/2006/relationships/hyperlink" Target="https://www.devicemart.co.kr/goods/view?no=1076851" TargetMode="External"/><Relationship Id="rId3" Type="http://schemas.openxmlformats.org/officeDocument/2006/relationships/hyperlink" Target="https://www.devicemart.co.kr/goods/view?no=1247052" TargetMode="External"/><Relationship Id="rId4" Type="http://schemas.openxmlformats.org/officeDocument/2006/relationships/hyperlink" Target="https://www.devicemart.co.kr/goods/view?no=10989" TargetMode="External"/><Relationship Id="rId9" Type="http://schemas.openxmlformats.org/officeDocument/2006/relationships/hyperlink" Target="https://www.devicemart.co.kr/goods/view?no=34537" TargetMode="External"/><Relationship Id="rId26" Type="http://schemas.openxmlformats.org/officeDocument/2006/relationships/hyperlink" Target="https://www.coupang.com/vp/products/249539823?vendorItemId=5001157295&amp;isAddedCart=" TargetMode="External"/><Relationship Id="rId25" Type="http://schemas.openxmlformats.org/officeDocument/2006/relationships/hyperlink" Target="https://www.devicemart.co.kr/goods/view?no=1321982" TargetMode="External"/><Relationship Id="rId28" Type="http://schemas.openxmlformats.org/officeDocument/2006/relationships/hyperlink" Target="https://www.coupang.com/vp/products/1465256481?vendorItemId=70512827124&amp;isAddedCart=" TargetMode="External"/><Relationship Id="rId27" Type="http://schemas.openxmlformats.org/officeDocument/2006/relationships/hyperlink" Target="https://www.coupang.com/vp/products/249533303?vendorItemId=5001124630&amp;isAddedCart=" TargetMode="External"/><Relationship Id="rId5" Type="http://schemas.openxmlformats.org/officeDocument/2006/relationships/hyperlink" Target="https://www.devicemart.co.kr/goods/view?no=12382952" TargetMode="External"/><Relationship Id="rId6" Type="http://schemas.openxmlformats.org/officeDocument/2006/relationships/hyperlink" Target="https://ko.aliexpress.com/item/1005010415147838.html?spm=a2g0o.order_list.order_list_main.5.21ef140fufWifV&amp;gatewayAdapt=glo2kor" TargetMode="External"/><Relationship Id="rId29" Type="http://schemas.openxmlformats.org/officeDocument/2006/relationships/hyperlink" Target="https://www.coupang.com/vp/products/1489857991?vendorItemId=70550275799&amp;isAddedCart=" TargetMode="External"/><Relationship Id="rId7" Type="http://schemas.openxmlformats.org/officeDocument/2006/relationships/hyperlink" Target="https://www.devicemart.co.kr/goods/view?no=34499" TargetMode="External"/><Relationship Id="rId8" Type="http://schemas.openxmlformats.org/officeDocument/2006/relationships/hyperlink" Target="https://www.devicemart.co.kr/goods/view?no=10912481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www.devicemart.co.kr/goods/view?no=34536" TargetMode="External"/><Relationship Id="rId10" Type="http://schemas.openxmlformats.org/officeDocument/2006/relationships/hyperlink" Target="https://www.devicemart.co.kr/goods/view?no=34325" TargetMode="External"/><Relationship Id="rId13" Type="http://schemas.openxmlformats.org/officeDocument/2006/relationships/hyperlink" Target="https://www.devicemart.co.kr/goods/view?no=34324" TargetMode="External"/><Relationship Id="rId12" Type="http://schemas.openxmlformats.org/officeDocument/2006/relationships/hyperlink" Target="https://www.devicemart.co.kr/goods/view?no=34487" TargetMode="External"/><Relationship Id="rId15" Type="http://schemas.openxmlformats.org/officeDocument/2006/relationships/hyperlink" Target="https://ko.aliexpress.com/item/1005009595510490.html?spm=a2g0o.cart.0.0.5e515ea2pq9rbK&amp;mp=1&amp;pdp_npi=6%40dis%21KRW%21KRW%2027158%21KRW%2013600%21%21KRW%2013465%21%21%21%402140ec5d17680587237595140ef6a5%2112000049570758598%21ct%21KR%212855793728%21%211%210%21&amp;gatewayAdapt=glo2kor" TargetMode="External"/><Relationship Id="rId14" Type="http://schemas.openxmlformats.org/officeDocument/2006/relationships/hyperlink" Target="https://ko.aliexpress.com/item/1005006822749704.html?spm=a2g0o.productlist.main.1.eae85866TlLvW8&amp;algo_pvid=623d0327-4db3-4cc1-8f86-c75ac74ce824&amp;algo_exp_id=623d0327-4db3-4cc1-8f86-c75ac74ce824-0&amp;pdp_ext_f=%7B%22order%22%3A%22118%22%2C%22eval%22%3A%221%22%2C%22fromPage%22%3A%22search%22%7D&amp;pdp_npi=6%40dis%21KRW%217220%214260%21%21%2133.64%2119.85%21%402101590d17680580451706198e1a37%2112000038829774827%21sea%21KR%212855793728%21X%211%210%21n_tag%3A-29919%3Bd%3A4badb2de%3Bm03_new_user%3A-29895&amp;curPageLogUid=sMgR3BPU4RB2&amp;utparam-url=scene%3Asearch%7Cquery_from%3A%7Cx_object_id%3A1005006822749704%7C_p_origin_prod%3A" TargetMode="External"/><Relationship Id="rId17" Type="http://schemas.openxmlformats.org/officeDocument/2006/relationships/hyperlink" Target="https://www.aliexpress.com/ssr/300000512/kr2024update?spm=a2g0o.productlist.main.1.68c733a0ALVDHZ&amp;productIds=1005006996441840:12000038988879468&amp;pha_manifest=ssr&amp;_immersiveMode=true&amp;disableNav=YES&amp;sourceName=SEARCHProduct&amp;utparam-url=scene%3Asearch%7Cquery_from%3A%7Cx_object_id%3A1005006996441840%7C_p_origin_prod%3A&amp;pvid=803cbca6-5b1e-4b49-a9cc-1f23b9c91799&amp;_gl=1*1kgdswm*_gcl_au*NzYwNDU1NDA1LjE3NjM2NDUxNTQ.*_ga*NTU2ODU0ODQ3LjE3NDA4MTQzNDQ.*_ga_VED1YSGNC7*czE3NjgxMzYzMTUkbzE1JGcxJHQxNzY4MTM2NzE5JGo3JGwwJGgw" TargetMode="External"/><Relationship Id="rId16" Type="http://schemas.openxmlformats.org/officeDocument/2006/relationships/hyperlink" Target="https://ko.aliexpress.com/item/1005008373440221.html?spm=a2g0o.order_list.order_list_main.25.21ef140fufWifV&amp;gatewayAdapt=glo2kor" TargetMode="External"/><Relationship Id="rId19" Type="http://schemas.openxmlformats.org/officeDocument/2006/relationships/hyperlink" Target="https://ko.aliexpress.com/item/1005006935811420.html?spm=a2g0o.order_list.order_list_main.15.21ef140fufWifV&amp;gatewayAdapt=glo2kor" TargetMode="External"/><Relationship Id="rId18" Type="http://schemas.openxmlformats.org/officeDocument/2006/relationships/hyperlink" Target="https://ko.aliexpress.com/item/1005010519677600.html?spm=a2g0o.order_list.order_list_main.31.21ef140fufWifV&amp;gatewayAdapt=glo2k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1.22" defaultRowHeight="15.0" outlineLevelRow="1"/>
  <cols>
    <col customWidth="1" min="1" max="2" width="12.11"/>
    <col customWidth="1" min="3" max="3" width="55.67"/>
    <col customWidth="1" min="4" max="4" width="48.0"/>
    <col customWidth="1" min="5" max="5" width="16.22"/>
    <col customWidth="1" min="6" max="6" width="11.78"/>
    <col customWidth="1" min="7" max="7" width="8.44"/>
    <col customWidth="1" min="8" max="8" width="11.78"/>
    <col customWidth="1" min="9" max="9" width="12.11"/>
    <col customWidth="1" min="10" max="10" width="90.33"/>
    <col customWidth="1" min="11" max="11" width="14.33"/>
    <col customWidth="1" min="13" max="13" width="20.11"/>
  </cols>
  <sheetData>
    <row r="1">
      <c r="A1" s="1"/>
      <c r="B1" s="2" t="s">
        <v>0</v>
      </c>
      <c r="C1" s="3" t="s">
        <v>1</v>
      </c>
      <c r="D1" s="4" t="s">
        <v>2</v>
      </c>
      <c r="E1" s="3" t="s">
        <v>3</v>
      </c>
      <c r="F1" s="5" t="s">
        <v>4</v>
      </c>
      <c r="G1" s="6" t="s">
        <v>5</v>
      </c>
      <c r="H1" s="7" t="s">
        <v>6</v>
      </c>
      <c r="I1" s="8" t="s">
        <v>7</v>
      </c>
      <c r="J1" s="9" t="s">
        <v>8</v>
      </c>
      <c r="K1" s="10"/>
      <c r="M1" s="11" t="s">
        <v>9</v>
      </c>
    </row>
    <row r="2" ht="37.5" customHeight="1">
      <c r="A2" s="12"/>
      <c r="B2" s="13" t="s">
        <v>10</v>
      </c>
      <c r="C2" s="14" t="s">
        <v>11</v>
      </c>
      <c r="D2" s="15" t="s">
        <v>12</v>
      </c>
      <c r="E2" s="14" t="s">
        <v>13</v>
      </c>
      <c r="F2" s="16">
        <v>0.0</v>
      </c>
      <c r="G2" s="16">
        <v>1.0</v>
      </c>
      <c r="H2" s="17">
        <f t="shared" ref="H2:H26" si="1">F2*G2</f>
        <v>0</v>
      </c>
      <c r="I2" s="18">
        <v>0.0</v>
      </c>
      <c r="J2" s="19" t="s">
        <v>14</v>
      </c>
      <c r="M2" s="20">
        <v>3778.0</v>
      </c>
    </row>
    <row r="3" ht="37.5" customHeight="1">
      <c r="A3" s="21"/>
      <c r="B3" s="22" t="s">
        <v>15</v>
      </c>
      <c r="C3" s="23" t="s">
        <v>16</v>
      </c>
      <c r="D3" s="24" t="s">
        <v>17</v>
      </c>
      <c r="E3" s="23" t="s">
        <v>18</v>
      </c>
      <c r="F3" s="25">
        <v>1100.0</v>
      </c>
      <c r="G3" s="25">
        <v>1.0</v>
      </c>
      <c r="H3" s="26">
        <f t="shared" si="1"/>
        <v>1100</v>
      </c>
      <c r="I3" s="27">
        <v>0.0</v>
      </c>
      <c r="J3" s="28"/>
      <c r="M3" s="20">
        <v>143618.0</v>
      </c>
    </row>
    <row r="4" ht="37.5" customHeight="1">
      <c r="A4" s="29"/>
      <c r="B4" s="30" t="s">
        <v>15</v>
      </c>
      <c r="C4" s="31" t="s">
        <v>19</v>
      </c>
      <c r="D4" s="32" t="s">
        <v>20</v>
      </c>
      <c r="E4" s="31" t="s">
        <v>18</v>
      </c>
      <c r="F4" s="33">
        <v>3500.0</v>
      </c>
      <c r="G4" s="33">
        <v>2.0</v>
      </c>
      <c r="H4" s="34">
        <f t="shared" si="1"/>
        <v>7000</v>
      </c>
      <c r="I4" s="35">
        <v>1.0</v>
      </c>
      <c r="J4" s="36" t="s">
        <v>21</v>
      </c>
      <c r="M4" s="20">
        <v>77371.0</v>
      </c>
    </row>
    <row r="5" ht="37.5" customHeight="1">
      <c r="A5" s="29"/>
      <c r="B5" s="30" t="s">
        <v>22</v>
      </c>
      <c r="C5" s="31" t="s">
        <v>23</v>
      </c>
      <c r="D5" s="37" t="s">
        <v>24</v>
      </c>
      <c r="E5" s="31" t="s">
        <v>25</v>
      </c>
      <c r="F5" s="33">
        <v>1210.0</v>
      </c>
      <c r="G5" s="38">
        <v>1.0</v>
      </c>
      <c r="H5" s="34">
        <f t="shared" si="1"/>
        <v>1210</v>
      </c>
      <c r="I5" s="35">
        <v>0.0</v>
      </c>
      <c r="J5" s="39"/>
      <c r="M5" s="20">
        <v>10822.0</v>
      </c>
    </row>
    <row r="6" ht="37.5" customHeight="1">
      <c r="A6" s="29"/>
      <c r="B6" s="40" t="s">
        <v>26</v>
      </c>
      <c r="C6" s="41" t="s">
        <v>27</v>
      </c>
      <c r="D6" s="42" t="s">
        <v>28</v>
      </c>
      <c r="E6" s="41" t="s">
        <v>29</v>
      </c>
      <c r="F6" s="43">
        <v>0.0</v>
      </c>
      <c r="G6" s="43">
        <v>1.0</v>
      </c>
      <c r="H6" s="44">
        <f t="shared" si="1"/>
        <v>0</v>
      </c>
      <c r="I6" s="35">
        <v>0.0</v>
      </c>
      <c r="J6" s="36" t="s">
        <v>14</v>
      </c>
      <c r="M6" s="45">
        <v>12411.0</v>
      </c>
    </row>
    <row r="7" ht="37.5" customHeight="1">
      <c r="A7" s="29"/>
      <c r="B7" s="22" t="s">
        <v>22</v>
      </c>
      <c r="C7" s="46" t="s">
        <v>30</v>
      </c>
      <c r="D7" s="47" t="s">
        <v>31</v>
      </c>
      <c r="E7" s="48" t="s">
        <v>18</v>
      </c>
      <c r="F7" s="25">
        <f>7195/4</f>
        <v>1798.75</v>
      </c>
      <c r="G7" s="25">
        <v>4.0</v>
      </c>
      <c r="H7" s="34">
        <f t="shared" si="1"/>
        <v>7195</v>
      </c>
      <c r="I7" s="35">
        <v>4.0</v>
      </c>
      <c r="J7" s="49" t="s">
        <v>32</v>
      </c>
      <c r="M7" s="20">
        <v>7180.0</v>
      </c>
    </row>
    <row r="8" ht="37.5" customHeight="1">
      <c r="A8" s="29"/>
      <c r="B8" s="30" t="s">
        <v>33</v>
      </c>
      <c r="C8" s="31" t="s">
        <v>34</v>
      </c>
      <c r="D8" s="37" t="s">
        <v>35</v>
      </c>
      <c r="E8" s="31" t="s">
        <v>18</v>
      </c>
      <c r="F8" s="33">
        <v>60.0</v>
      </c>
      <c r="G8" s="38">
        <v>10.0</v>
      </c>
      <c r="H8" s="34">
        <f t="shared" si="1"/>
        <v>600</v>
      </c>
      <c r="I8" s="35">
        <v>2.0</v>
      </c>
      <c r="J8" s="36" t="s">
        <v>36</v>
      </c>
      <c r="M8" s="20">
        <v>6377.0</v>
      </c>
    </row>
    <row r="9" ht="37.5" customHeight="1">
      <c r="A9" s="29"/>
      <c r="B9" s="30" t="s">
        <v>33</v>
      </c>
      <c r="C9" s="31" t="s">
        <v>37</v>
      </c>
      <c r="D9" s="37" t="s">
        <v>38</v>
      </c>
      <c r="E9" s="31" t="s">
        <v>18</v>
      </c>
      <c r="F9" s="33">
        <v>70.0</v>
      </c>
      <c r="G9" s="33">
        <v>50.0</v>
      </c>
      <c r="H9" s="34">
        <f t="shared" si="1"/>
        <v>3500</v>
      </c>
      <c r="I9" s="35">
        <v>10.0</v>
      </c>
      <c r="J9" s="36" t="s">
        <v>39</v>
      </c>
      <c r="M9" s="20">
        <v>38866.0</v>
      </c>
    </row>
    <row r="10" ht="37.5" customHeight="1">
      <c r="A10" s="29"/>
      <c r="B10" s="30" t="s">
        <v>33</v>
      </c>
      <c r="C10" s="31" t="s">
        <v>40</v>
      </c>
      <c r="D10" s="32" t="s">
        <v>41</v>
      </c>
      <c r="E10" s="31" t="s">
        <v>18</v>
      </c>
      <c r="F10" s="33">
        <v>70.0</v>
      </c>
      <c r="G10" s="38">
        <v>10.0</v>
      </c>
      <c r="H10" s="34">
        <f t="shared" si="1"/>
        <v>700</v>
      </c>
      <c r="I10" s="35">
        <v>2.0</v>
      </c>
      <c r="J10" s="28"/>
      <c r="M10" s="20">
        <v>7195.0</v>
      </c>
    </row>
    <row r="11" ht="37.5" customHeight="1">
      <c r="A11" s="29"/>
      <c r="B11" s="30" t="s">
        <v>33</v>
      </c>
      <c r="C11" s="31" t="s">
        <v>42</v>
      </c>
      <c r="D11" s="32" t="s">
        <v>43</v>
      </c>
      <c r="E11" s="31" t="s">
        <v>18</v>
      </c>
      <c r="F11" s="33">
        <v>14.0</v>
      </c>
      <c r="G11" s="38">
        <v>50.0</v>
      </c>
      <c r="H11" s="34">
        <f t="shared" si="1"/>
        <v>700</v>
      </c>
      <c r="I11" s="35">
        <v>2.0</v>
      </c>
      <c r="J11" s="28"/>
      <c r="M11" s="20">
        <v>6886.0</v>
      </c>
    </row>
    <row r="12" ht="37.5" customHeight="1">
      <c r="A12" s="29"/>
      <c r="B12" s="30" t="s">
        <v>33</v>
      </c>
      <c r="C12" s="31" t="s">
        <v>44</v>
      </c>
      <c r="D12" s="37" t="s">
        <v>45</v>
      </c>
      <c r="E12" s="31" t="s">
        <v>18</v>
      </c>
      <c r="F12" s="33">
        <v>60.0</v>
      </c>
      <c r="G12" s="38">
        <v>10.0</v>
      </c>
      <c r="H12" s="34">
        <f t="shared" si="1"/>
        <v>600</v>
      </c>
      <c r="I12" s="35">
        <v>6.0</v>
      </c>
      <c r="J12" s="28"/>
      <c r="M12" s="20">
        <v>21521.0</v>
      </c>
    </row>
    <row r="13" ht="37.5" customHeight="1">
      <c r="A13" s="29"/>
      <c r="B13" s="30" t="s">
        <v>33</v>
      </c>
      <c r="C13" s="31" t="s">
        <v>46</v>
      </c>
      <c r="D13" s="37" t="s">
        <v>47</v>
      </c>
      <c r="E13" s="31" t="s">
        <v>18</v>
      </c>
      <c r="F13" s="33">
        <v>50.0</v>
      </c>
      <c r="G13" s="38">
        <v>30.0</v>
      </c>
      <c r="H13" s="34">
        <f t="shared" si="1"/>
        <v>1500</v>
      </c>
      <c r="I13" s="35">
        <v>2.0</v>
      </c>
      <c r="J13" s="28"/>
      <c r="M13" s="50"/>
    </row>
    <row r="14" ht="37.5" customHeight="1">
      <c r="A14" s="29"/>
      <c r="B14" s="30" t="s">
        <v>33</v>
      </c>
      <c r="C14" s="31" t="s">
        <v>48</v>
      </c>
      <c r="D14" s="37" t="s">
        <v>49</v>
      </c>
      <c r="E14" s="31" t="s">
        <v>18</v>
      </c>
      <c r="F14" s="33">
        <v>10.0</v>
      </c>
      <c r="G14" s="38">
        <v>20.0</v>
      </c>
      <c r="H14" s="34">
        <f t="shared" si="1"/>
        <v>200</v>
      </c>
      <c r="I14" s="35">
        <v>4.0</v>
      </c>
      <c r="J14" s="28"/>
      <c r="L14" s="51" t="s">
        <v>50</v>
      </c>
      <c r="M14" s="52">
        <f>sum(M2:M13)</f>
        <v>336025</v>
      </c>
    </row>
    <row r="15" ht="37.5" customHeight="1">
      <c r="A15" s="29"/>
      <c r="B15" s="30" t="s">
        <v>33</v>
      </c>
      <c r="C15" s="31" t="s">
        <v>51</v>
      </c>
      <c r="D15" s="32" t="s">
        <v>52</v>
      </c>
      <c r="E15" s="31" t="s">
        <v>18</v>
      </c>
      <c r="F15" s="33">
        <f>3778/10</f>
        <v>377.8</v>
      </c>
      <c r="G15" s="38">
        <v>10.0</v>
      </c>
      <c r="H15" s="34">
        <f t="shared" si="1"/>
        <v>3778</v>
      </c>
      <c r="I15" s="35">
        <v>2.0</v>
      </c>
      <c r="J15" s="49"/>
    </row>
    <row r="16" ht="37.5" customHeight="1">
      <c r="A16" s="29"/>
      <c r="B16" s="30" t="s">
        <v>53</v>
      </c>
      <c r="C16" s="31" t="s">
        <v>54</v>
      </c>
      <c r="D16" s="53" t="s">
        <v>55</v>
      </c>
      <c r="E16" s="31" t="s">
        <v>18</v>
      </c>
      <c r="F16" s="33">
        <f>10822/3</f>
        <v>3607.333333</v>
      </c>
      <c r="G16" s="33">
        <v>3.0</v>
      </c>
      <c r="H16" s="34">
        <f t="shared" si="1"/>
        <v>10822</v>
      </c>
      <c r="I16" s="35">
        <v>1.0</v>
      </c>
      <c r="J16" s="36" t="s">
        <v>56</v>
      </c>
      <c r="L16" s="10"/>
    </row>
    <row r="17" ht="36.75" customHeight="1">
      <c r="A17" s="29"/>
      <c r="B17" s="22" t="s">
        <v>57</v>
      </c>
      <c r="C17" s="48" t="s">
        <v>58</v>
      </c>
      <c r="D17" s="47" t="s">
        <v>59</v>
      </c>
      <c r="E17" s="31" t="s">
        <v>18</v>
      </c>
      <c r="F17" s="25">
        <f>38866/2</f>
        <v>19433</v>
      </c>
      <c r="G17" s="25">
        <v>2.0</v>
      </c>
      <c r="H17" s="34">
        <f t="shared" si="1"/>
        <v>38866</v>
      </c>
      <c r="I17" s="35">
        <v>0.0</v>
      </c>
      <c r="J17" s="36" t="s">
        <v>60</v>
      </c>
      <c r="K17" s="10"/>
    </row>
    <row r="18" ht="36.75" customHeight="1" outlineLevel="1">
      <c r="A18" s="29"/>
      <c r="B18" s="30" t="s">
        <v>61</v>
      </c>
      <c r="C18" s="54" t="s">
        <v>62</v>
      </c>
      <c r="D18" s="53" t="s">
        <v>63</v>
      </c>
      <c r="E18" s="31" t="s">
        <v>18</v>
      </c>
      <c r="F18" s="33">
        <f>143618/12</f>
        <v>11968.16667</v>
      </c>
      <c r="G18" s="33">
        <v>12.0</v>
      </c>
      <c r="H18" s="34">
        <f t="shared" si="1"/>
        <v>143618</v>
      </c>
      <c r="I18" s="35">
        <v>0.0</v>
      </c>
      <c r="J18" s="36" t="s">
        <v>64</v>
      </c>
      <c r="K18" s="10"/>
    </row>
    <row r="19" ht="36.75" customHeight="1" outlineLevel="1">
      <c r="A19" s="29"/>
      <c r="B19" s="22" t="s">
        <v>22</v>
      </c>
      <c r="C19" s="48" t="s">
        <v>65</v>
      </c>
      <c r="D19" s="55" t="s">
        <v>66</v>
      </c>
      <c r="E19" s="31" t="s">
        <v>18</v>
      </c>
      <c r="F19" s="25">
        <f>7180/5</f>
        <v>1436</v>
      </c>
      <c r="G19" s="25">
        <v>5.0</v>
      </c>
      <c r="H19" s="34">
        <f t="shared" si="1"/>
        <v>7180</v>
      </c>
      <c r="I19" s="35">
        <v>2.0</v>
      </c>
      <c r="J19" s="36"/>
      <c r="K19" s="10"/>
    </row>
    <row r="20" ht="36.75" customHeight="1" outlineLevel="1">
      <c r="A20" s="29"/>
      <c r="B20" s="22" t="s">
        <v>22</v>
      </c>
      <c r="C20" s="48" t="s">
        <v>67</v>
      </c>
      <c r="D20" s="55" t="s">
        <v>68</v>
      </c>
      <c r="E20" s="31" t="s">
        <v>18</v>
      </c>
      <c r="F20" s="25">
        <f>6377/5</f>
        <v>1275.4</v>
      </c>
      <c r="G20" s="25">
        <v>5.0</v>
      </c>
      <c r="H20" s="34">
        <f t="shared" si="1"/>
        <v>6377</v>
      </c>
      <c r="I20" s="35">
        <v>4.0</v>
      </c>
      <c r="J20" s="36" t="s">
        <v>69</v>
      </c>
      <c r="K20" s="10"/>
    </row>
    <row r="21" ht="36.75" customHeight="1" outlineLevel="1">
      <c r="A21" s="29"/>
      <c r="B21" s="22" t="s">
        <v>22</v>
      </c>
      <c r="C21" s="48" t="s">
        <v>70</v>
      </c>
      <c r="D21" s="55" t="s">
        <v>71</v>
      </c>
      <c r="E21" s="31" t="s">
        <v>18</v>
      </c>
      <c r="F21" s="25">
        <v>12411.0</v>
      </c>
      <c r="G21" s="25">
        <v>1.0</v>
      </c>
      <c r="H21" s="34">
        <f t="shared" si="1"/>
        <v>12411</v>
      </c>
      <c r="I21" s="35">
        <v>0.0</v>
      </c>
      <c r="J21" s="36" t="s">
        <v>72</v>
      </c>
      <c r="K21" s="10"/>
    </row>
    <row r="22" ht="36.75" customHeight="1" outlineLevel="1">
      <c r="A22" s="29"/>
      <c r="B22" s="22" t="s">
        <v>22</v>
      </c>
      <c r="C22" s="48" t="s">
        <v>73</v>
      </c>
      <c r="D22" s="55" t="s">
        <v>74</v>
      </c>
      <c r="E22" s="31" t="s">
        <v>18</v>
      </c>
      <c r="F22" s="33">
        <v>6886.0</v>
      </c>
      <c r="G22" s="25">
        <v>1.0</v>
      </c>
      <c r="H22" s="34">
        <f t="shared" si="1"/>
        <v>6886</v>
      </c>
      <c r="I22" s="35">
        <v>0.0</v>
      </c>
      <c r="J22" s="28"/>
      <c r="K22" s="56"/>
    </row>
    <row r="23" ht="36.75" customHeight="1" outlineLevel="1">
      <c r="A23" s="57"/>
      <c r="B23" s="30" t="s">
        <v>15</v>
      </c>
      <c r="C23" s="54" t="s">
        <v>75</v>
      </c>
      <c r="D23" s="32" t="s">
        <v>76</v>
      </c>
      <c r="E23" s="54" t="s">
        <v>77</v>
      </c>
      <c r="F23" s="33">
        <v>77371.0</v>
      </c>
      <c r="G23" s="58">
        <v>1.0</v>
      </c>
      <c r="H23" s="34">
        <f t="shared" si="1"/>
        <v>77371</v>
      </c>
      <c r="I23" s="59">
        <v>0.0</v>
      </c>
      <c r="J23" s="28"/>
      <c r="K23" s="56"/>
    </row>
    <row r="24" ht="36.75" customHeight="1" outlineLevel="1">
      <c r="A24" s="60"/>
      <c r="B24" s="61"/>
      <c r="C24" s="62"/>
      <c r="D24" s="63"/>
      <c r="E24" s="64"/>
      <c r="F24" s="65"/>
      <c r="G24" s="65"/>
      <c r="H24" s="34">
        <f t="shared" si="1"/>
        <v>0</v>
      </c>
      <c r="I24" s="66">
        <v>0.0</v>
      </c>
      <c r="J24" s="36" t="s">
        <v>78</v>
      </c>
      <c r="K24" s="10"/>
    </row>
    <row r="25" ht="36.75" customHeight="1" outlineLevel="1">
      <c r="A25" s="67"/>
      <c r="B25" s="68"/>
      <c r="C25" s="69"/>
      <c r="D25" s="70"/>
      <c r="E25" s="71"/>
      <c r="F25" s="72"/>
      <c r="G25" s="72"/>
      <c r="H25" s="34">
        <f t="shared" si="1"/>
        <v>0</v>
      </c>
      <c r="I25" s="59">
        <v>0.0</v>
      </c>
      <c r="J25" s="28"/>
      <c r="K25" s="56"/>
    </row>
    <row r="26" ht="36.75" customHeight="1" outlineLevel="1">
      <c r="A26" s="73"/>
      <c r="B26" s="74" t="s">
        <v>79</v>
      </c>
      <c r="C26" s="75" t="s">
        <v>80</v>
      </c>
      <c r="D26" s="76"/>
      <c r="E26" s="77"/>
      <c r="F26" s="78">
        <v>4411.0</v>
      </c>
      <c r="G26" s="79">
        <v>1.0</v>
      </c>
      <c r="H26" s="80">
        <f t="shared" si="1"/>
        <v>4411</v>
      </c>
      <c r="I26" s="81">
        <v>0.0</v>
      </c>
      <c r="J26" s="82"/>
      <c r="K26" s="56"/>
    </row>
    <row r="27" ht="36.75" customHeight="1" outlineLevel="1">
      <c r="A27" s="83"/>
      <c r="B27" s="84"/>
      <c r="C27" s="84"/>
      <c r="D27" s="85"/>
      <c r="E27" s="84"/>
      <c r="F27" s="86"/>
      <c r="G27" s="87" t="s">
        <v>81</v>
      </c>
      <c r="H27" s="88">
        <f>SUM(H2:H26)</f>
        <v>336025</v>
      </c>
      <c r="I27" s="83"/>
      <c r="J27" s="10"/>
      <c r="K27" s="10"/>
    </row>
    <row r="28" ht="36.75" customHeight="1" outlineLevel="1">
      <c r="A28" s="83"/>
      <c r="D28" s="89"/>
      <c r="I28" s="83"/>
      <c r="J28" s="90"/>
      <c r="K28" s="90"/>
    </row>
    <row r="29" ht="36.75" customHeight="1">
      <c r="A29" s="91"/>
      <c r="D29" s="89"/>
      <c r="F29" s="92"/>
      <c r="G29" s="92"/>
      <c r="H29" s="92"/>
      <c r="I29" s="91"/>
      <c r="J29" s="90"/>
      <c r="K29" s="90"/>
    </row>
    <row r="30" ht="36.75" customHeight="1">
      <c r="A30" s="91"/>
      <c r="B30" s="93" t="s">
        <v>82</v>
      </c>
      <c r="D30" s="89"/>
      <c r="F30" s="92"/>
      <c r="G30" s="92"/>
      <c r="H30" s="92"/>
      <c r="I30" s="91"/>
      <c r="J30" s="90"/>
      <c r="K30" s="90"/>
    </row>
    <row r="31" ht="36.75" customHeight="1">
      <c r="A31" s="91"/>
      <c r="B31" s="94">
        <v>1.0</v>
      </c>
      <c r="C31" s="95" t="s">
        <v>83</v>
      </c>
      <c r="D31" s="96"/>
      <c r="E31" s="97"/>
      <c r="F31" s="98"/>
      <c r="G31" s="98"/>
      <c r="H31" s="99"/>
      <c r="I31" s="91"/>
      <c r="J31" s="90"/>
      <c r="K31" s="90"/>
    </row>
    <row r="32" ht="36.75" customHeight="1">
      <c r="A32" s="91"/>
      <c r="B32" s="100">
        <v>2.0</v>
      </c>
      <c r="C32" s="101" t="s">
        <v>84</v>
      </c>
      <c r="D32" s="89"/>
      <c r="F32" s="92"/>
      <c r="G32" s="92"/>
      <c r="H32" s="102"/>
      <c r="I32" s="91"/>
      <c r="J32" s="90"/>
      <c r="K32" s="90"/>
    </row>
    <row r="33" ht="36.75" customHeight="1">
      <c r="A33" s="91"/>
      <c r="B33" s="100">
        <v>3.0</v>
      </c>
      <c r="C33" s="101" t="s">
        <v>85</v>
      </c>
      <c r="D33" s="89"/>
      <c r="F33" s="92"/>
      <c r="G33" s="92"/>
      <c r="H33" s="102"/>
      <c r="I33" s="91"/>
      <c r="J33" s="90"/>
      <c r="K33" s="90"/>
    </row>
    <row r="34" ht="36.75" customHeight="1">
      <c r="A34" s="91"/>
      <c r="B34" s="100">
        <v>4.0</v>
      </c>
      <c r="C34" s="101" t="s">
        <v>86</v>
      </c>
      <c r="D34" s="89"/>
      <c r="F34" s="92"/>
      <c r="G34" s="92"/>
      <c r="H34" s="102"/>
      <c r="I34" s="91"/>
      <c r="J34" s="90"/>
      <c r="K34" s="90"/>
    </row>
    <row r="35" ht="36.75" customHeight="1">
      <c r="A35" s="91"/>
      <c r="B35" s="100" t="s">
        <v>87</v>
      </c>
      <c r="C35" s="101" t="s">
        <v>88</v>
      </c>
      <c r="D35" s="89"/>
      <c r="F35" s="92"/>
      <c r="G35" s="92"/>
      <c r="H35" s="102"/>
      <c r="I35" s="91"/>
      <c r="J35" s="90"/>
      <c r="K35" s="90"/>
    </row>
    <row r="36" ht="36.75" customHeight="1">
      <c r="A36" s="91"/>
      <c r="B36" s="100">
        <v>5.0</v>
      </c>
      <c r="C36" s="101" t="s">
        <v>89</v>
      </c>
      <c r="D36" s="89"/>
      <c r="F36" s="92"/>
      <c r="G36" s="92"/>
      <c r="H36" s="102"/>
      <c r="I36" s="91"/>
      <c r="J36" s="90"/>
      <c r="K36" s="90"/>
    </row>
    <row r="37" ht="36.75" customHeight="1">
      <c r="A37" s="91"/>
      <c r="B37" s="100">
        <v>6.0</v>
      </c>
      <c r="C37" s="101" t="s">
        <v>90</v>
      </c>
      <c r="D37" s="89"/>
      <c r="F37" s="92"/>
      <c r="G37" s="92"/>
      <c r="H37" s="102"/>
      <c r="I37" s="91"/>
      <c r="J37" s="90"/>
      <c r="K37" s="90"/>
    </row>
    <row r="38" ht="36.75" customHeight="1">
      <c r="A38" s="91"/>
      <c r="B38" s="100">
        <v>7.0</v>
      </c>
      <c r="C38" s="101" t="s">
        <v>91</v>
      </c>
      <c r="D38" s="89"/>
      <c r="F38" s="92"/>
      <c r="G38" s="92"/>
      <c r="H38" s="102"/>
      <c r="I38" s="91"/>
      <c r="J38" s="90"/>
      <c r="K38" s="90"/>
    </row>
    <row r="39" ht="36.75" customHeight="1">
      <c r="A39" s="91"/>
      <c r="B39" s="100">
        <v>8.0</v>
      </c>
      <c r="C39" s="101" t="s">
        <v>92</v>
      </c>
      <c r="D39" s="89"/>
      <c r="F39" s="92"/>
      <c r="G39" s="92"/>
      <c r="H39" s="102"/>
      <c r="I39" s="91"/>
      <c r="J39" s="90"/>
      <c r="K39" s="90"/>
    </row>
    <row r="40" ht="36.75" customHeight="1">
      <c r="A40" s="91"/>
      <c r="B40" s="103">
        <v>9.0</v>
      </c>
      <c r="C40" s="104" t="s">
        <v>93</v>
      </c>
      <c r="D40" s="105"/>
      <c r="E40" s="106"/>
      <c r="F40" s="107"/>
      <c r="G40" s="107"/>
      <c r="H40" s="108"/>
      <c r="I40" s="91"/>
      <c r="J40" s="90"/>
      <c r="K40" s="90"/>
    </row>
    <row r="41" ht="36.75" customHeight="1">
      <c r="A41" s="91"/>
      <c r="D41" s="89"/>
      <c r="F41" s="92"/>
      <c r="G41" s="92"/>
      <c r="H41" s="92"/>
      <c r="I41" s="91"/>
      <c r="J41" s="90"/>
      <c r="K41" s="90"/>
    </row>
    <row r="42" ht="36.75" customHeight="1">
      <c r="A42" s="91"/>
      <c r="D42" s="89"/>
      <c r="F42" s="92"/>
      <c r="G42" s="92"/>
      <c r="H42" s="92"/>
      <c r="I42" s="91"/>
      <c r="J42" s="90"/>
      <c r="K42" s="90"/>
    </row>
    <row r="43" ht="36.75" customHeight="1">
      <c r="D43" s="89"/>
      <c r="F43" s="92"/>
      <c r="G43" s="92"/>
      <c r="H43" s="92"/>
      <c r="J43" s="90"/>
      <c r="K43" s="90"/>
    </row>
    <row r="44" ht="36.75" customHeight="1">
      <c r="B44" s="109" t="s">
        <v>94</v>
      </c>
      <c r="D44" s="89"/>
      <c r="F44" s="92"/>
      <c r="G44" s="92"/>
      <c r="H44" s="110"/>
      <c r="J44" s="90"/>
      <c r="K44" s="90"/>
    </row>
    <row r="45" ht="36.75" customHeight="1">
      <c r="B45" s="111" t="s">
        <v>0</v>
      </c>
      <c r="C45" s="112" t="s">
        <v>1</v>
      </c>
      <c r="D45" s="113" t="s">
        <v>2</v>
      </c>
      <c r="E45" s="112" t="s">
        <v>3</v>
      </c>
      <c r="F45" s="114" t="s">
        <v>4</v>
      </c>
      <c r="G45" s="115" t="s">
        <v>5</v>
      </c>
      <c r="H45" s="116" t="s">
        <v>6</v>
      </c>
      <c r="J45" s="90"/>
      <c r="K45" s="90"/>
    </row>
    <row r="46" ht="36.75" customHeight="1">
      <c r="B46" s="117" t="s">
        <v>33</v>
      </c>
      <c r="C46" s="118" t="s">
        <v>51</v>
      </c>
      <c r="D46" s="119" t="s">
        <v>95</v>
      </c>
      <c r="E46" s="118" t="s">
        <v>96</v>
      </c>
      <c r="F46" s="120">
        <v>3200.0</v>
      </c>
      <c r="G46" s="121">
        <v>10.0</v>
      </c>
      <c r="H46" s="122">
        <f t="shared" ref="H46:H52" si="2">F46*G46</f>
        <v>32000</v>
      </c>
      <c r="J46" s="90"/>
      <c r="K46" s="90"/>
    </row>
    <row r="47" ht="36.75" customHeight="1">
      <c r="B47" s="123" t="s">
        <v>53</v>
      </c>
      <c r="C47" s="124" t="s">
        <v>54</v>
      </c>
      <c r="D47" s="125" t="s">
        <v>97</v>
      </c>
      <c r="E47" s="124" t="s">
        <v>98</v>
      </c>
      <c r="F47" s="126" t="s">
        <v>99</v>
      </c>
      <c r="G47" s="127">
        <v>2.0</v>
      </c>
      <c r="H47" s="128">
        <f t="shared" si="2"/>
        <v>25600</v>
      </c>
      <c r="J47" s="90"/>
      <c r="K47" s="90"/>
    </row>
    <row r="48" ht="36.75" customHeight="1">
      <c r="B48" s="123" t="s">
        <v>22</v>
      </c>
      <c r="C48" s="124" t="s">
        <v>100</v>
      </c>
      <c r="D48" s="125" t="s">
        <v>101</v>
      </c>
      <c r="E48" s="124" t="s">
        <v>102</v>
      </c>
      <c r="F48" s="126" t="s">
        <v>103</v>
      </c>
      <c r="G48" s="127">
        <v>3.0</v>
      </c>
      <c r="H48" s="128">
        <f t="shared" si="2"/>
        <v>9000</v>
      </c>
      <c r="J48" s="90"/>
      <c r="K48" s="90"/>
    </row>
    <row r="49" ht="15.75" customHeight="1">
      <c r="B49" s="129" t="s">
        <v>22</v>
      </c>
      <c r="C49" s="130" t="s">
        <v>104</v>
      </c>
      <c r="D49" s="131" t="s">
        <v>105</v>
      </c>
      <c r="E49" s="130" t="s">
        <v>106</v>
      </c>
      <c r="F49" s="132">
        <v>140.0</v>
      </c>
      <c r="G49" s="132">
        <v>1.0</v>
      </c>
      <c r="H49" s="133">
        <f t="shared" si="2"/>
        <v>140</v>
      </c>
      <c r="J49" s="90"/>
      <c r="K49" s="90"/>
    </row>
    <row r="50" ht="15.75" customHeight="1">
      <c r="B50" s="129" t="s">
        <v>22</v>
      </c>
      <c r="C50" s="130" t="s">
        <v>107</v>
      </c>
      <c r="D50" s="134" t="s">
        <v>108</v>
      </c>
      <c r="E50" s="130" t="s">
        <v>106</v>
      </c>
      <c r="F50" s="132">
        <v>1250.0</v>
      </c>
      <c r="G50" s="132">
        <v>3.0</v>
      </c>
      <c r="H50" s="133">
        <f t="shared" si="2"/>
        <v>3750</v>
      </c>
      <c r="J50" s="90"/>
      <c r="K50" s="90"/>
    </row>
    <row r="51" ht="15.75" customHeight="1">
      <c r="B51" s="129" t="s">
        <v>22</v>
      </c>
      <c r="C51" s="130" t="s">
        <v>109</v>
      </c>
      <c r="D51" s="131" t="s">
        <v>110</v>
      </c>
      <c r="E51" s="135" t="s">
        <v>111</v>
      </c>
      <c r="F51" s="132">
        <v>4900.0</v>
      </c>
      <c r="G51" s="132">
        <v>2.0</v>
      </c>
      <c r="H51" s="133">
        <f t="shared" si="2"/>
        <v>9800</v>
      </c>
      <c r="J51" s="90"/>
      <c r="K51" s="90"/>
    </row>
    <row r="52" ht="15.75" customHeight="1">
      <c r="B52" s="129" t="s">
        <v>22</v>
      </c>
      <c r="C52" s="136" t="s">
        <v>112</v>
      </c>
      <c r="D52" s="137" t="s">
        <v>113</v>
      </c>
      <c r="E52" s="138" t="s">
        <v>111</v>
      </c>
      <c r="F52" s="139">
        <v>1900.0</v>
      </c>
      <c r="G52" s="140">
        <v>1.0</v>
      </c>
      <c r="H52" s="133">
        <f t="shared" si="2"/>
        <v>1900</v>
      </c>
      <c r="J52" s="141"/>
      <c r="K52" s="90"/>
    </row>
    <row r="53" ht="15.75" customHeight="1">
      <c r="B53" s="129"/>
      <c r="C53" s="142"/>
      <c r="D53" s="143"/>
      <c r="E53" s="142"/>
      <c r="F53" s="144"/>
      <c r="G53" s="144"/>
      <c r="H53" s="145"/>
      <c r="J53" s="141"/>
      <c r="K53" s="90"/>
    </row>
    <row r="54" ht="15.75" customHeight="1">
      <c r="B54" s="129"/>
      <c r="C54" s="142"/>
      <c r="D54" s="143"/>
      <c r="E54" s="142"/>
      <c r="F54" s="144"/>
      <c r="G54" s="144"/>
      <c r="H54" s="146"/>
      <c r="J54" s="141"/>
      <c r="K54" s="90"/>
    </row>
    <row r="55" ht="15.75" customHeight="1">
      <c r="B55" s="129"/>
      <c r="C55" s="142"/>
      <c r="D55" s="143"/>
      <c r="E55" s="142"/>
      <c r="F55" s="144"/>
      <c r="G55" s="144"/>
      <c r="H55" s="146"/>
      <c r="J55" s="90"/>
      <c r="K55" s="141"/>
    </row>
    <row r="56" ht="15.75" customHeight="1">
      <c r="B56" s="129"/>
      <c r="C56" s="142"/>
      <c r="D56" s="143"/>
      <c r="E56" s="142"/>
      <c r="F56" s="144"/>
      <c r="G56" s="144"/>
      <c r="H56" s="146"/>
      <c r="J56" s="90"/>
      <c r="K56" s="141"/>
    </row>
    <row r="57" ht="15.75" customHeight="1">
      <c r="B57" s="129"/>
      <c r="C57" s="142"/>
      <c r="D57" s="143"/>
      <c r="E57" s="142"/>
      <c r="F57" s="132"/>
      <c r="G57" s="132"/>
      <c r="H57" s="146"/>
      <c r="J57" s="90"/>
      <c r="K57" s="141"/>
    </row>
    <row r="58" ht="15.75" customHeight="1">
      <c r="B58" s="129"/>
      <c r="C58" s="130"/>
      <c r="D58" s="143"/>
      <c r="E58" s="130"/>
      <c r="F58" s="132"/>
      <c r="G58" s="132"/>
      <c r="H58" s="146"/>
      <c r="J58" s="90"/>
      <c r="K58" s="90"/>
    </row>
    <row r="59" ht="15.75" customHeight="1">
      <c r="B59" s="129"/>
      <c r="C59" s="130"/>
      <c r="D59" s="143"/>
      <c r="E59" s="130"/>
      <c r="F59" s="132"/>
      <c r="G59" s="132"/>
      <c r="H59" s="146"/>
      <c r="J59" s="90"/>
      <c r="K59" s="90"/>
    </row>
    <row r="60" ht="15.75" customHeight="1">
      <c r="B60" s="129"/>
      <c r="C60" s="147"/>
      <c r="D60" s="148"/>
      <c r="E60" s="130"/>
      <c r="F60" s="132"/>
      <c r="G60" s="132"/>
      <c r="H60" s="146"/>
      <c r="J60" s="90"/>
      <c r="K60" s="90"/>
    </row>
    <row r="61" ht="15.75" customHeight="1">
      <c r="B61" s="129"/>
      <c r="C61" s="130"/>
      <c r="D61" s="148"/>
      <c r="E61" s="130"/>
      <c r="F61" s="132"/>
      <c r="G61" s="132"/>
      <c r="H61" s="146"/>
      <c r="J61" s="90"/>
      <c r="K61" s="90"/>
    </row>
    <row r="62" ht="15.75" customHeight="1">
      <c r="B62" s="129"/>
      <c r="C62" s="130"/>
      <c r="D62" s="143"/>
      <c r="E62" s="130"/>
      <c r="F62" s="132"/>
      <c r="G62" s="132"/>
      <c r="H62" s="146"/>
      <c r="J62" s="90"/>
      <c r="K62" s="90"/>
    </row>
    <row r="63" ht="15.75" customHeight="1">
      <c r="B63" s="129"/>
      <c r="C63" s="130"/>
      <c r="D63" s="148"/>
      <c r="E63" s="135"/>
      <c r="F63" s="132"/>
      <c r="G63" s="132"/>
      <c r="H63" s="146"/>
      <c r="J63" s="90"/>
      <c r="K63" s="90"/>
    </row>
    <row r="64" ht="15.75" customHeight="1">
      <c r="B64" s="149"/>
      <c r="C64" s="150"/>
      <c r="D64" s="151"/>
      <c r="E64" s="152"/>
      <c r="F64" s="153"/>
      <c r="G64" s="140"/>
      <c r="H64" s="154"/>
      <c r="J64" s="90"/>
      <c r="K64" s="90"/>
    </row>
    <row r="65" ht="15.75" customHeight="1">
      <c r="D65" s="89"/>
      <c r="F65" s="110"/>
      <c r="G65" s="155"/>
      <c r="H65" s="156"/>
      <c r="J65" s="90"/>
      <c r="K65" s="90"/>
    </row>
    <row r="66" ht="15.75" customHeight="1">
      <c r="D66" s="89"/>
      <c r="F66" s="92"/>
      <c r="G66" s="92"/>
      <c r="H66" s="92"/>
      <c r="J66" s="90"/>
      <c r="K66" s="90"/>
    </row>
    <row r="67" ht="15.75" customHeight="1">
      <c r="D67" s="89"/>
      <c r="F67" s="92"/>
      <c r="G67" s="92"/>
      <c r="H67" s="110"/>
      <c r="J67" s="90"/>
      <c r="K67" s="90"/>
    </row>
    <row r="68" ht="15.75" customHeight="1">
      <c r="D68" s="89"/>
      <c r="F68" s="92"/>
      <c r="G68" s="92"/>
      <c r="H68" s="110"/>
      <c r="J68" s="90"/>
      <c r="K68" s="90"/>
    </row>
    <row r="69" ht="15.75" customHeight="1">
      <c r="D69" s="89"/>
      <c r="F69" s="92"/>
      <c r="G69" s="92"/>
      <c r="H69" s="110"/>
      <c r="J69" s="90"/>
      <c r="K69" s="90"/>
    </row>
    <row r="70" ht="15.75" customHeight="1">
      <c r="D70" s="89"/>
      <c r="F70" s="92"/>
      <c r="G70" s="92"/>
      <c r="H70" s="110"/>
      <c r="J70" s="90"/>
      <c r="K70" s="90"/>
    </row>
    <row r="71" ht="15.75" customHeight="1">
      <c r="K71" s="90"/>
    </row>
    <row r="72" ht="15.75" customHeight="1">
      <c r="K72" s="90"/>
    </row>
    <row r="73" ht="15.75" customHeight="1">
      <c r="K73" s="90"/>
    </row>
    <row r="74" ht="15.75" customHeight="1">
      <c r="D74" s="89"/>
      <c r="F74" s="92"/>
      <c r="G74" s="92"/>
      <c r="H74" s="110"/>
      <c r="J74" s="90"/>
      <c r="K74" s="90"/>
    </row>
    <row r="75" ht="15.75" customHeight="1">
      <c r="D75" s="89"/>
      <c r="F75" s="92"/>
      <c r="G75" s="92"/>
      <c r="H75" s="110"/>
      <c r="J75" s="90"/>
      <c r="K75" s="90"/>
    </row>
    <row r="76" ht="15.75" customHeight="1">
      <c r="D76" s="89"/>
      <c r="F76" s="92"/>
      <c r="G76" s="92"/>
      <c r="H76" s="110"/>
      <c r="J76" s="90"/>
      <c r="K76" s="90"/>
    </row>
    <row r="77" ht="15.75" customHeight="1">
      <c r="D77" s="89"/>
      <c r="F77" s="92"/>
      <c r="G77" s="92"/>
      <c r="H77" s="110"/>
      <c r="J77" s="90"/>
      <c r="K77" s="90"/>
    </row>
    <row r="78" ht="15.75" customHeight="1">
      <c r="D78" s="89"/>
      <c r="F78" s="92"/>
      <c r="G78" s="92"/>
      <c r="H78" s="110"/>
      <c r="J78" s="90"/>
      <c r="K78" s="90"/>
    </row>
    <row r="79" ht="15.75" customHeight="1">
      <c r="D79" s="89"/>
      <c r="F79" s="92"/>
      <c r="G79" s="92"/>
      <c r="H79" s="110"/>
      <c r="J79" s="90"/>
      <c r="K79" s="90"/>
    </row>
    <row r="80" ht="15.75" customHeight="1">
      <c r="D80" s="89"/>
      <c r="F80" s="92"/>
      <c r="G80" s="92"/>
      <c r="H80" s="110"/>
      <c r="J80" s="90"/>
      <c r="K80" s="90"/>
    </row>
    <row r="81" ht="15.75" customHeight="1">
      <c r="D81" s="89"/>
      <c r="F81" s="92"/>
      <c r="G81" s="92"/>
      <c r="H81" s="110"/>
      <c r="J81" s="90"/>
      <c r="K81" s="90"/>
    </row>
    <row r="82" ht="15.75" customHeight="1">
      <c r="D82" s="89"/>
      <c r="F82" s="92"/>
      <c r="G82" s="92"/>
      <c r="H82" s="110"/>
      <c r="J82" s="90"/>
      <c r="K82" s="90"/>
    </row>
    <row r="83" ht="15.75" customHeight="1">
      <c r="D83" s="89"/>
      <c r="F83" s="92"/>
      <c r="G83" s="92"/>
      <c r="H83" s="110"/>
      <c r="J83" s="90"/>
      <c r="K83" s="90"/>
    </row>
    <row r="84" ht="15.75" customHeight="1">
      <c r="D84" s="89"/>
      <c r="F84" s="92"/>
      <c r="G84" s="92"/>
      <c r="H84" s="110"/>
      <c r="J84" s="90"/>
      <c r="K84" s="90"/>
    </row>
    <row r="85" ht="15.75" customHeight="1">
      <c r="D85" s="89"/>
      <c r="F85" s="92"/>
      <c r="G85" s="92"/>
      <c r="H85" s="110"/>
      <c r="J85" s="90"/>
      <c r="K85" s="90"/>
    </row>
    <row r="86" ht="15.75" customHeight="1">
      <c r="D86" s="89"/>
      <c r="F86" s="92"/>
      <c r="G86" s="92"/>
      <c r="H86" s="110"/>
      <c r="J86" s="90"/>
      <c r="K86" s="90"/>
    </row>
    <row r="87" ht="15.75" customHeight="1">
      <c r="D87" s="89"/>
      <c r="F87" s="92"/>
      <c r="G87" s="92"/>
      <c r="H87" s="110"/>
      <c r="J87" s="90"/>
      <c r="K87" s="90"/>
    </row>
    <row r="88" ht="15.75" customHeight="1">
      <c r="D88" s="89"/>
      <c r="F88" s="92"/>
      <c r="G88" s="92"/>
      <c r="H88" s="110"/>
      <c r="J88" s="90"/>
      <c r="K88" s="90"/>
    </row>
    <row r="89" ht="15.75" customHeight="1">
      <c r="D89" s="89"/>
      <c r="F89" s="92"/>
      <c r="G89" s="92"/>
      <c r="H89" s="110"/>
      <c r="J89" s="90"/>
      <c r="K89" s="90"/>
    </row>
    <row r="90" ht="15.75" customHeight="1">
      <c r="D90" s="89"/>
      <c r="F90" s="92"/>
      <c r="G90" s="92"/>
      <c r="H90" s="110"/>
      <c r="J90" s="90"/>
      <c r="K90" s="90"/>
    </row>
    <row r="91" ht="15.75" customHeight="1">
      <c r="D91" s="89"/>
      <c r="F91" s="92"/>
      <c r="G91" s="92"/>
      <c r="H91" s="110"/>
      <c r="J91" s="90"/>
      <c r="K91" s="90"/>
    </row>
    <row r="92" ht="15.75" customHeight="1">
      <c r="D92" s="89"/>
      <c r="F92" s="92"/>
      <c r="G92" s="92"/>
      <c r="H92" s="110"/>
      <c r="J92" s="90"/>
      <c r="K92" s="90"/>
    </row>
    <row r="93" ht="15.75" customHeight="1">
      <c r="D93" s="89"/>
      <c r="F93" s="92"/>
      <c r="G93" s="92"/>
      <c r="H93" s="110"/>
      <c r="J93" s="90"/>
      <c r="K93" s="90"/>
    </row>
    <row r="94" ht="15.75" customHeight="1">
      <c r="D94" s="89"/>
      <c r="F94" s="92"/>
      <c r="G94" s="92"/>
      <c r="H94" s="110"/>
      <c r="J94" s="90"/>
      <c r="K94" s="90"/>
    </row>
    <row r="95" ht="15.75" customHeight="1">
      <c r="D95" s="89"/>
      <c r="F95" s="92"/>
      <c r="G95" s="92"/>
      <c r="H95" s="110"/>
      <c r="J95" s="90"/>
      <c r="K95" s="90"/>
    </row>
    <row r="96" ht="15.75" customHeight="1">
      <c r="D96" s="89"/>
      <c r="F96" s="92"/>
      <c r="G96" s="92"/>
      <c r="H96" s="110"/>
      <c r="J96" s="90"/>
      <c r="K96" s="90"/>
    </row>
    <row r="97" ht="15.75" customHeight="1">
      <c r="D97" s="89"/>
      <c r="F97" s="92"/>
      <c r="G97" s="92"/>
      <c r="H97" s="110"/>
      <c r="J97" s="90"/>
      <c r="K97" s="90"/>
    </row>
    <row r="98" ht="15.75" customHeight="1">
      <c r="D98" s="89"/>
      <c r="F98" s="92"/>
      <c r="G98" s="92"/>
      <c r="H98" s="110"/>
      <c r="J98" s="90"/>
      <c r="K98" s="90"/>
    </row>
    <row r="99" ht="15.75" customHeight="1">
      <c r="D99" s="89"/>
      <c r="F99" s="92"/>
      <c r="G99" s="92"/>
      <c r="H99" s="110"/>
      <c r="J99" s="90"/>
      <c r="K99" s="90"/>
    </row>
    <row r="100" ht="15.75" customHeight="1">
      <c r="D100" s="89"/>
      <c r="F100" s="92"/>
      <c r="G100" s="92"/>
      <c r="H100" s="110"/>
      <c r="J100" s="90"/>
      <c r="K100" s="90"/>
    </row>
    <row r="101" ht="15.75" customHeight="1">
      <c r="D101" s="89"/>
      <c r="F101" s="92"/>
      <c r="G101" s="92"/>
      <c r="H101" s="110"/>
      <c r="J101" s="90"/>
      <c r="K101" s="90"/>
    </row>
    <row r="102" ht="15.75" customHeight="1">
      <c r="D102" s="89"/>
      <c r="F102" s="92"/>
      <c r="G102" s="92"/>
      <c r="H102" s="110"/>
      <c r="J102" s="90"/>
      <c r="K102" s="90"/>
    </row>
    <row r="103" ht="15.75" customHeight="1">
      <c r="D103" s="89"/>
      <c r="F103" s="92"/>
      <c r="G103" s="92"/>
      <c r="H103" s="110"/>
      <c r="J103" s="90"/>
      <c r="K103" s="90"/>
    </row>
    <row r="104" ht="15.75" customHeight="1">
      <c r="D104" s="89"/>
      <c r="F104" s="92"/>
      <c r="G104" s="92"/>
      <c r="H104" s="110"/>
      <c r="J104" s="90"/>
      <c r="K104" s="90"/>
    </row>
    <row r="105" ht="15.75" customHeight="1">
      <c r="D105" s="89"/>
      <c r="F105" s="92"/>
      <c r="G105" s="92"/>
      <c r="H105" s="110"/>
      <c r="J105" s="90"/>
      <c r="K105" s="90"/>
    </row>
    <row r="106" ht="15.75" customHeight="1">
      <c r="D106" s="89"/>
      <c r="F106" s="92"/>
      <c r="G106" s="92"/>
      <c r="H106" s="110"/>
      <c r="J106" s="90"/>
      <c r="K106" s="90"/>
    </row>
    <row r="107" ht="15.75" customHeight="1">
      <c r="D107" s="89"/>
      <c r="F107" s="92"/>
      <c r="G107" s="92"/>
      <c r="H107" s="110"/>
      <c r="J107" s="90"/>
      <c r="K107" s="90"/>
    </row>
    <row r="108" ht="15.75" customHeight="1">
      <c r="D108" s="89"/>
      <c r="F108" s="92"/>
      <c r="G108" s="92"/>
      <c r="H108" s="110"/>
      <c r="J108" s="90"/>
      <c r="K108" s="90"/>
    </row>
    <row r="109" ht="15.75" customHeight="1">
      <c r="D109" s="89"/>
      <c r="F109" s="92"/>
      <c r="G109" s="92"/>
      <c r="H109" s="110"/>
      <c r="J109" s="90"/>
      <c r="K109" s="90"/>
    </row>
    <row r="110" ht="15.75" customHeight="1">
      <c r="D110" s="89"/>
      <c r="F110" s="92"/>
      <c r="G110" s="92"/>
      <c r="H110" s="110"/>
      <c r="J110" s="90"/>
      <c r="K110" s="90"/>
    </row>
    <row r="111" ht="15.75" customHeight="1">
      <c r="D111" s="89"/>
      <c r="F111" s="92"/>
      <c r="G111" s="92"/>
      <c r="H111" s="110"/>
      <c r="J111" s="90"/>
      <c r="K111" s="90"/>
    </row>
    <row r="112" ht="15.75" customHeight="1">
      <c r="D112" s="89"/>
      <c r="F112" s="92"/>
      <c r="G112" s="92"/>
      <c r="H112" s="110"/>
      <c r="J112" s="90"/>
      <c r="K112" s="90"/>
    </row>
    <row r="113" ht="15.75" customHeight="1">
      <c r="D113" s="89"/>
      <c r="F113" s="92"/>
      <c r="G113" s="92"/>
      <c r="H113" s="110"/>
      <c r="J113" s="90"/>
      <c r="K113" s="90"/>
    </row>
    <row r="114" ht="15.75" customHeight="1">
      <c r="D114" s="89"/>
      <c r="F114" s="92"/>
      <c r="G114" s="92"/>
      <c r="H114" s="110"/>
      <c r="J114" s="90"/>
      <c r="K114" s="90"/>
    </row>
    <row r="115" ht="15.75" customHeight="1">
      <c r="D115" s="89"/>
      <c r="F115" s="92"/>
      <c r="G115" s="92"/>
      <c r="H115" s="110"/>
      <c r="J115" s="90"/>
      <c r="K115" s="90"/>
    </row>
    <row r="116" ht="15.75" customHeight="1">
      <c r="D116" s="89"/>
      <c r="F116" s="92"/>
      <c r="G116" s="92"/>
      <c r="H116" s="110"/>
      <c r="J116" s="90"/>
      <c r="K116" s="90"/>
    </row>
    <row r="117" ht="15.75" customHeight="1">
      <c r="D117" s="89"/>
      <c r="F117" s="92"/>
      <c r="G117" s="92"/>
      <c r="H117" s="110"/>
      <c r="J117" s="90"/>
      <c r="K117" s="90"/>
    </row>
    <row r="118" ht="15.75" customHeight="1">
      <c r="D118" s="89"/>
      <c r="F118" s="92"/>
      <c r="G118" s="92"/>
      <c r="H118" s="110"/>
      <c r="J118" s="90"/>
      <c r="K118" s="90"/>
    </row>
    <row r="119" ht="15.75" customHeight="1">
      <c r="D119" s="89"/>
      <c r="F119" s="92"/>
      <c r="G119" s="92"/>
      <c r="H119" s="110"/>
      <c r="J119" s="90"/>
      <c r="K119" s="90"/>
    </row>
    <row r="120" ht="15.75" customHeight="1">
      <c r="D120" s="89"/>
      <c r="F120" s="92"/>
      <c r="G120" s="92"/>
      <c r="H120" s="110"/>
      <c r="J120" s="90"/>
      <c r="K120" s="90"/>
    </row>
    <row r="121" ht="15.75" customHeight="1">
      <c r="D121" s="89"/>
      <c r="F121" s="92"/>
      <c r="G121" s="92"/>
      <c r="H121" s="110"/>
      <c r="J121" s="90"/>
      <c r="K121" s="90"/>
    </row>
    <row r="122" ht="15.75" customHeight="1">
      <c r="D122" s="89"/>
      <c r="F122" s="92"/>
      <c r="G122" s="92"/>
      <c r="H122" s="110"/>
      <c r="J122" s="90"/>
      <c r="K122" s="90"/>
    </row>
    <row r="123" ht="15.75" customHeight="1">
      <c r="D123" s="89"/>
      <c r="F123" s="92"/>
      <c r="G123" s="92"/>
      <c r="H123" s="110"/>
      <c r="J123" s="90"/>
      <c r="K123" s="90"/>
    </row>
    <row r="124" ht="15.75" customHeight="1">
      <c r="D124" s="89"/>
      <c r="F124" s="92"/>
      <c r="G124" s="92"/>
      <c r="H124" s="110"/>
      <c r="J124" s="90"/>
      <c r="K124" s="90"/>
    </row>
    <row r="125" ht="15.75" customHeight="1">
      <c r="D125" s="89"/>
      <c r="F125" s="92"/>
      <c r="G125" s="92"/>
      <c r="H125" s="110"/>
      <c r="J125" s="90"/>
      <c r="K125" s="90"/>
    </row>
    <row r="126" ht="15.75" customHeight="1">
      <c r="D126" s="89"/>
      <c r="F126" s="92"/>
      <c r="G126" s="92"/>
      <c r="H126" s="110"/>
      <c r="J126" s="90"/>
      <c r="K126" s="90"/>
    </row>
    <row r="127" ht="15.75" customHeight="1">
      <c r="D127" s="89"/>
      <c r="F127" s="92"/>
      <c r="G127" s="92"/>
      <c r="H127" s="110"/>
      <c r="J127" s="90"/>
      <c r="K127" s="90"/>
    </row>
    <row r="128" ht="15.75" customHeight="1">
      <c r="D128" s="89"/>
      <c r="F128" s="92"/>
      <c r="G128" s="92"/>
      <c r="H128" s="110"/>
      <c r="J128" s="90"/>
      <c r="K128" s="90"/>
    </row>
    <row r="129" ht="15.75" customHeight="1">
      <c r="D129" s="89"/>
      <c r="F129" s="92"/>
      <c r="G129" s="92"/>
      <c r="H129" s="110"/>
      <c r="J129" s="90"/>
      <c r="K129" s="90"/>
    </row>
    <row r="130" ht="15.75" customHeight="1">
      <c r="D130" s="89"/>
      <c r="F130" s="92"/>
      <c r="G130" s="92"/>
      <c r="H130" s="110"/>
      <c r="J130" s="90"/>
      <c r="K130" s="90"/>
    </row>
    <row r="131" ht="15.75" customHeight="1">
      <c r="D131" s="89"/>
      <c r="F131" s="92"/>
      <c r="G131" s="92"/>
      <c r="H131" s="110"/>
      <c r="J131" s="90"/>
      <c r="K131" s="90"/>
    </row>
    <row r="132" ht="15.75" customHeight="1">
      <c r="D132" s="89"/>
      <c r="F132" s="92"/>
      <c r="G132" s="92"/>
      <c r="H132" s="110"/>
      <c r="J132" s="90"/>
      <c r="K132" s="90"/>
    </row>
    <row r="133" ht="15.75" customHeight="1">
      <c r="D133" s="89"/>
      <c r="F133" s="92"/>
      <c r="G133" s="92"/>
      <c r="H133" s="110"/>
      <c r="J133" s="90"/>
      <c r="K133" s="90"/>
    </row>
    <row r="134" ht="15.75" customHeight="1">
      <c r="D134" s="89"/>
      <c r="F134" s="92"/>
      <c r="G134" s="92"/>
      <c r="H134" s="110"/>
      <c r="J134" s="90"/>
      <c r="K134" s="90"/>
    </row>
    <row r="135" ht="15.75" customHeight="1">
      <c r="D135" s="89"/>
      <c r="F135" s="92"/>
      <c r="G135" s="92"/>
      <c r="H135" s="110"/>
      <c r="J135" s="90"/>
      <c r="K135" s="90"/>
    </row>
    <row r="136" ht="15.75" customHeight="1">
      <c r="D136" s="89"/>
      <c r="F136" s="92"/>
      <c r="G136" s="92"/>
      <c r="H136" s="110"/>
      <c r="J136" s="90"/>
      <c r="K136" s="90"/>
    </row>
    <row r="137" ht="15.75" customHeight="1">
      <c r="D137" s="89"/>
      <c r="F137" s="92"/>
      <c r="G137" s="92"/>
      <c r="H137" s="110"/>
      <c r="J137" s="90"/>
      <c r="K137" s="90"/>
    </row>
    <row r="138" ht="15.75" customHeight="1">
      <c r="D138" s="89"/>
      <c r="F138" s="92"/>
      <c r="G138" s="92"/>
      <c r="H138" s="110"/>
      <c r="J138" s="90"/>
      <c r="K138" s="90"/>
    </row>
    <row r="139" ht="15.75" customHeight="1">
      <c r="D139" s="89"/>
      <c r="F139" s="92"/>
      <c r="G139" s="92"/>
      <c r="H139" s="110"/>
      <c r="J139" s="90"/>
      <c r="K139" s="90"/>
    </row>
    <row r="140" ht="15.75" customHeight="1">
      <c r="D140" s="89"/>
      <c r="F140" s="92"/>
      <c r="G140" s="92"/>
      <c r="H140" s="110"/>
      <c r="J140" s="90"/>
      <c r="K140" s="90"/>
    </row>
    <row r="141" ht="15.75" customHeight="1">
      <c r="D141" s="89"/>
      <c r="F141" s="92"/>
      <c r="G141" s="92"/>
      <c r="H141" s="110"/>
      <c r="J141" s="90"/>
      <c r="K141" s="90"/>
    </row>
    <row r="142" ht="15.75" customHeight="1">
      <c r="D142" s="89"/>
      <c r="F142" s="92"/>
      <c r="G142" s="92"/>
      <c r="H142" s="110"/>
      <c r="J142" s="90"/>
      <c r="K142" s="90"/>
    </row>
    <row r="143" ht="15.75" customHeight="1">
      <c r="D143" s="89"/>
      <c r="F143" s="92"/>
      <c r="G143" s="92"/>
      <c r="H143" s="110"/>
      <c r="J143" s="90"/>
      <c r="K143" s="90"/>
    </row>
    <row r="144" ht="15.75" customHeight="1">
      <c r="D144" s="89"/>
      <c r="F144" s="92"/>
      <c r="G144" s="92"/>
      <c r="H144" s="110"/>
      <c r="J144" s="90"/>
      <c r="K144" s="90"/>
    </row>
    <row r="145" ht="15.75" customHeight="1">
      <c r="D145" s="89"/>
      <c r="F145" s="92"/>
      <c r="G145" s="92"/>
      <c r="H145" s="110"/>
      <c r="J145" s="90"/>
      <c r="K145" s="90"/>
    </row>
    <row r="146" ht="15.75" customHeight="1">
      <c r="D146" s="89"/>
      <c r="F146" s="92"/>
      <c r="G146" s="92"/>
      <c r="H146" s="110"/>
      <c r="J146" s="90"/>
      <c r="K146" s="90"/>
    </row>
    <row r="147" ht="15.75" customHeight="1">
      <c r="D147" s="89"/>
      <c r="F147" s="92"/>
      <c r="G147" s="92"/>
      <c r="H147" s="110"/>
      <c r="J147" s="90"/>
      <c r="K147" s="90"/>
    </row>
    <row r="148" ht="15.75" customHeight="1">
      <c r="D148" s="89"/>
      <c r="F148" s="92"/>
      <c r="G148" s="92"/>
      <c r="H148" s="110"/>
      <c r="J148" s="90"/>
      <c r="K148" s="90"/>
    </row>
    <row r="149" ht="15.75" customHeight="1">
      <c r="D149" s="89"/>
      <c r="F149" s="92"/>
      <c r="G149" s="92"/>
      <c r="H149" s="110"/>
      <c r="J149" s="90"/>
      <c r="K149" s="90"/>
    </row>
    <row r="150" ht="15.75" customHeight="1">
      <c r="D150" s="89"/>
      <c r="F150" s="92"/>
      <c r="G150" s="92"/>
      <c r="H150" s="110"/>
      <c r="J150" s="90"/>
      <c r="K150" s="90"/>
    </row>
    <row r="151" ht="15.75" customHeight="1">
      <c r="D151" s="89"/>
      <c r="F151" s="92"/>
      <c r="G151" s="92"/>
      <c r="H151" s="110"/>
      <c r="J151" s="90"/>
      <c r="K151" s="90"/>
    </row>
    <row r="152" ht="15.75" customHeight="1">
      <c r="D152" s="89"/>
      <c r="F152" s="92"/>
      <c r="G152" s="92"/>
      <c r="H152" s="110"/>
      <c r="J152" s="90"/>
      <c r="K152" s="90"/>
    </row>
    <row r="153" ht="15.75" customHeight="1">
      <c r="D153" s="89"/>
      <c r="F153" s="92"/>
      <c r="G153" s="92"/>
      <c r="H153" s="110"/>
      <c r="J153" s="90"/>
      <c r="K153" s="90"/>
    </row>
    <row r="154" ht="15.75" customHeight="1">
      <c r="D154" s="89"/>
      <c r="F154" s="92"/>
      <c r="G154" s="92"/>
      <c r="H154" s="110"/>
      <c r="J154" s="90"/>
      <c r="K154" s="90"/>
    </row>
    <row r="155" ht="15.75" customHeight="1">
      <c r="D155" s="89"/>
      <c r="F155" s="92"/>
      <c r="G155" s="92"/>
      <c r="H155" s="110"/>
      <c r="J155" s="90"/>
      <c r="K155" s="90"/>
    </row>
    <row r="156" ht="15.75" customHeight="1">
      <c r="D156" s="89"/>
      <c r="F156" s="92"/>
      <c r="G156" s="92"/>
      <c r="H156" s="110"/>
      <c r="J156" s="90"/>
      <c r="K156" s="90"/>
    </row>
    <row r="157" ht="15.75" customHeight="1">
      <c r="D157" s="89"/>
      <c r="F157" s="92"/>
      <c r="G157" s="92"/>
      <c r="H157" s="110"/>
      <c r="J157" s="90"/>
      <c r="K157" s="90"/>
    </row>
    <row r="158" ht="15.75" customHeight="1">
      <c r="D158" s="89"/>
      <c r="F158" s="92"/>
      <c r="G158" s="92"/>
      <c r="H158" s="110"/>
      <c r="J158" s="90"/>
      <c r="K158" s="90"/>
    </row>
    <row r="159" ht="15.75" customHeight="1">
      <c r="D159" s="89"/>
      <c r="F159" s="92"/>
      <c r="G159" s="92"/>
      <c r="H159" s="110"/>
      <c r="J159" s="90"/>
      <c r="K159" s="90"/>
    </row>
    <row r="160" ht="15.75" customHeight="1">
      <c r="D160" s="89"/>
      <c r="F160" s="92"/>
      <c r="G160" s="92"/>
      <c r="H160" s="110"/>
      <c r="J160" s="90"/>
      <c r="K160" s="90"/>
    </row>
    <row r="161" ht="15.75" customHeight="1">
      <c r="D161" s="89"/>
      <c r="F161" s="92"/>
      <c r="G161" s="92"/>
      <c r="H161" s="110"/>
      <c r="J161" s="90"/>
      <c r="K161" s="90"/>
    </row>
    <row r="162" ht="15.75" customHeight="1">
      <c r="D162" s="89"/>
      <c r="F162" s="92"/>
      <c r="G162" s="92"/>
      <c r="H162" s="110"/>
      <c r="J162" s="90"/>
      <c r="K162" s="90"/>
    </row>
    <row r="163" ht="15.75" customHeight="1">
      <c r="D163" s="89"/>
      <c r="F163" s="92"/>
      <c r="G163" s="92"/>
      <c r="H163" s="110"/>
      <c r="J163" s="90"/>
      <c r="K163" s="90"/>
    </row>
    <row r="164" ht="15.75" customHeight="1">
      <c r="D164" s="89"/>
      <c r="F164" s="92"/>
      <c r="G164" s="92"/>
      <c r="H164" s="110"/>
      <c r="J164" s="90"/>
      <c r="K164" s="90"/>
    </row>
    <row r="165" ht="15.75" customHeight="1">
      <c r="D165" s="89"/>
      <c r="F165" s="92"/>
      <c r="G165" s="92"/>
      <c r="H165" s="110"/>
      <c r="J165" s="90"/>
      <c r="K165" s="90"/>
    </row>
    <row r="166" ht="15.75" customHeight="1">
      <c r="D166" s="89"/>
      <c r="F166" s="92"/>
      <c r="G166" s="92"/>
      <c r="H166" s="110"/>
      <c r="J166" s="90"/>
      <c r="K166" s="90"/>
    </row>
    <row r="167" ht="15.75" customHeight="1">
      <c r="D167" s="89"/>
      <c r="F167" s="92"/>
      <c r="G167" s="92"/>
      <c r="H167" s="110"/>
      <c r="J167" s="90"/>
      <c r="K167" s="90"/>
    </row>
    <row r="168" ht="15.75" customHeight="1">
      <c r="D168" s="89"/>
      <c r="F168" s="92"/>
      <c r="G168" s="92"/>
      <c r="H168" s="110"/>
      <c r="J168" s="90"/>
      <c r="K168" s="90"/>
    </row>
    <row r="169" ht="15.75" customHeight="1">
      <c r="D169" s="89"/>
      <c r="F169" s="92"/>
      <c r="G169" s="92"/>
      <c r="H169" s="110"/>
      <c r="J169" s="90"/>
      <c r="K169" s="90"/>
    </row>
    <row r="170" ht="15.75" customHeight="1">
      <c r="D170" s="89"/>
      <c r="F170" s="92"/>
      <c r="G170" s="92"/>
      <c r="H170" s="110"/>
      <c r="J170" s="90"/>
      <c r="K170" s="90"/>
    </row>
    <row r="171" ht="15.75" customHeight="1">
      <c r="D171" s="89"/>
      <c r="F171" s="92"/>
      <c r="G171" s="92"/>
      <c r="H171" s="110"/>
      <c r="J171" s="90"/>
      <c r="K171" s="90"/>
    </row>
    <row r="172" ht="15.75" customHeight="1">
      <c r="D172" s="89"/>
      <c r="F172" s="92"/>
      <c r="G172" s="92"/>
      <c r="H172" s="110"/>
      <c r="J172" s="90"/>
      <c r="K172" s="90"/>
    </row>
    <row r="173" ht="15.75" customHeight="1">
      <c r="D173" s="89"/>
      <c r="F173" s="92"/>
      <c r="G173" s="92"/>
      <c r="H173" s="110"/>
      <c r="J173" s="90"/>
      <c r="K173" s="90"/>
    </row>
    <row r="174" ht="15.75" customHeight="1">
      <c r="D174" s="89"/>
      <c r="F174" s="92"/>
      <c r="G174" s="92"/>
      <c r="H174" s="110"/>
      <c r="J174" s="90"/>
      <c r="K174" s="90"/>
    </row>
    <row r="175" ht="15.75" customHeight="1">
      <c r="D175" s="89"/>
      <c r="F175" s="92"/>
      <c r="G175" s="92"/>
      <c r="H175" s="110"/>
      <c r="J175" s="90"/>
      <c r="K175" s="90"/>
    </row>
    <row r="176" ht="15.75" customHeight="1">
      <c r="D176" s="89"/>
      <c r="F176" s="92"/>
      <c r="G176" s="92"/>
      <c r="H176" s="110"/>
      <c r="J176" s="90"/>
      <c r="K176" s="90"/>
    </row>
    <row r="177" ht="15.75" customHeight="1">
      <c r="D177" s="89"/>
      <c r="F177" s="92"/>
      <c r="G177" s="92"/>
      <c r="H177" s="110"/>
      <c r="J177" s="90"/>
      <c r="K177" s="90"/>
    </row>
    <row r="178" ht="15.75" customHeight="1">
      <c r="D178" s="89"/>
      <c r="F178" s="92"/>
      <c r="G178" s="92"/>
      <c r="H178" s="110"/>
      <c r="J178" s="90"/>
      <c r="K178" s="90"/>
    </row>
    <row r="179" ht="15.75" customHeight="1">
      <c r="D179" s="89"/>
      <c r="F179" s="92"/>
      <c r="G179" s="92"/>
      <c r="H179" s="110"/>
      <c r="J179" s="90"/>
      <c r="K179" s="90"/>
    </row>
    <row r="180" ht="15.75" customHeight="1">
      <c r="D180" s="89"/>
      <c r="F180" s="92"/>
      <c r="G180" s="92"/>
      <c r="H180" s="110"/>
      <c r="J180" s="90"/>
      <c r="K180" s="90"/>
    </row>
    <row r="181" ht="15.75" customHeight="1">
      <c r="D181" s="89"/>
      <c r="F181" s="92"/>
      <c r="G181" s="92"/>
      <c r="H181" s="110"/>
      <c r="J181" s="90"/>
      <c r="K181" s="90"/>
    </row>
    <row r="182" ht="15.75" customHeight="1">
      <c r="D182" s="89"/>
      <c r="F182" s="92"/>
      <c r="G182" s="92"/>
      <c r="H182" s="110"/>
      <c r="J182" s="90"/>
      <c r="K182" s="90"/>
    </row>
    <row r="183" ht="15.75" customHeight="1">
      <c r="D183" s="89"/>
      <c r="F183" s="92"/>
      <c r="G183" s="92"/>
      <c r="H183" s="110"/>
      <c r="J183" s="90"/>
      <c r="K183" s="90"/>
    </row>
    <row r="184" ht="15.75" customHeight="1">
      <c r="D184" s="89"/>
      <c r="F184" s="92"/>
      <c r="G184" s="92"/>
      <c r="H184" s="110"/>
      <c r="J184" s="90"/>
      <c r="K184" s="90"/>
    </row>
    <row r="185" ht="15.75" customHeight="1">
      <c r="D185" s="89"/>
      <c r="F185" s="92"/>
      <c r="G185" s="92"/>
      <c r="H185" s="110"/>
      <c r="J185" s="90"/>
      <c r="K185" s="90"/>
    </row>
    <row r="186" ht="15.75" customHeight="1">
      <c r="D186" s="89"/>
      <c r="F186" s="92"/>
      <c r="G186" s="92"/>
      <c r="H186" s="110"/>
      <c r="J186" s="90"/>
      <c r="K186" s="90"/>
    </row>
    <row r="187" ht="15.75" customHeight="1">
      <c r="D187" s="89"/>
      <c r="F187" s="92"/>
      <c r="G187" s="92"/>
      <c r="H187" s="110"/>
      <c r="J187" s="90"/>
      <c r="K187" s="90"/>
    </row>
    <row r="188" ht="15.75" customHeight="1">
      <c r="D188" s="89"/>
      <c r="F188" s="92"/>
      <c r="G188" s="92"/>
      <c r="H188" s="110"/>
      <c r="J188" s="90"/>
      <c r="K188" s="90"/>
    </row>
    <row r="189" ht="15.75" customHeight="1">
      <c r="D189" s="89"/>
      <c r="F189" s="92"/>
      <c r="G189" s="92"/>
      <c r="H189" s="110"/>
      <c r="J189" s="90"/>
      <c r="K189" s="90"/>
    </row>
    <row r="190" ht="15.75" customHeight="1">
      <c r="D190" s="89"/>
      <c r="F190" s="92"/>
      <c r="G190" s="92"/>
      <c r="H190" s="110"/>
      <c r="J190" s="90"/>
      <c r="K190" s="90"/>
    </row>
    <row r="191" ht="15.75" customHeight="1">
      <c r="D191" s="89"/>
      <c r="F191" s="92"/>
      <c r="G191" s="92"/>
      <c r="H191" s="110"/>
      <c r="J191" s="90"/>
      <c r="K191" s="90"/>
    </row>
    <row r="192" ht="15.75" customHeight="1">
      <c r="D192" s="89"/>
      <c r="F192" s="92"/>
      <c r="G192" s="92"/>
      <c r="H192" s="110"/>
      <c r="J192" s="90"/>
      <c r="K192" s="90"/>
    </row>
    <row r="193" ht="15.75" customHeight="1">
      <c r="D193" s="89"/>
      <c r="F193" s="92"/>
      <c r="G193" s="92"/>
      <c r="H193" s="110"/>
      <c r="J193" s="90"/>
      <c r="K193" s="90"/>
    </row>
    <row r="194" ht="15.75" customHeight="1">
      <c r="D194" s="89"/>
      <c r="F194" s="92"/>
      <c r="G194" s="92"/>
      <c r="H194" s="110"/>
      <c r="J194" s="90"/>
      <c r="K194" s="90"/>
    </row>
    <row r="195" ht="15.75" customHeight="1">
      <c r="D195" s="89"/>
      <c r="F195" s="92"/>
      <c r="G195" s="92"/>
      <c r="H195" s="110"/>
      <c r="J195" s="90"/>
      <c r="K195" s="90"/>
    </row>
    <row r="196" ht="15.75" customHeight="1">
      <c r="D196" s="89"/>
      <c r="F196" s="92"/>
      <c r="G196" s="92"/>
      <c r="H196" s="110"/>
      <c r="J196" s="90"/>
      <c r="K196" s="90"/>
    </row>
    <row r="197" ht="15.75" customHeight="1">
      <c r="D197" s="89"/>
      <c r="F197" s="92"/>
      <c r="G197" s="92"/>
      <c r="H197" s="110"/>
      <c r="J197" s="90"/>
      <c r="K197" s="90"/>
    </row>
    <row r="198" ht="15.75" customHeight="1">
      <c r="D198" s="89"/>
      <c r="F198" s="92"/>
      <c r="G198" s="92"/>
      <c r="H198" s="110"/>
      <c r="J198" s="90"/>
      <c r="K198" s="90"/>
    </row>
    <row r="199" ht="15.75" customHeight="1">
      <c r="D199" s="89"/>
      <c r="F199" s="92"/>
      <c r="G199" s="92"/>
      <c r="H199" s="110"/>
      <c r="J199" s="90"/>
      <c r="K199" s="90"/>
    </row>
    <row r="200" ht="15.75" customHeight="1">
      <c r="D200" s="89"/>
      <c r="F200" s="92"/>
      <c r="G200" s="92"/>
      <c r="H200" s="110"/>
      <c r="J200" s="90"/>
      <c r="K200" s="90"/>
    </row>
    <row r="201" ht="15.75" customHeight="1">
      <c r="D201" s="89"/>
      <c r="F201" s="92"/>
      <c r="G201" s="92"/>
      <c r="H201" s="110"/>
      <c r="J201" s="90"/>
      <c r="K201" s="90"/>
    </row>
    <row r="202" ht="15.75" customHeight="1">
      <c r="D202" s="89"/>
      <c r="F202" s="92"/>
      <c r="G202" s="92"/>
      <c r="H202" s="110"/>
      <c r="J202" s="90"/>
      <c r="K202" s="90"/>
    </row>
    <row r="203" ht="15.75" customHeight="1">
      <c r="D203" s="89"/>
      <c r="F203" s="92"/>
      <c r="G203" s="92"/>
      <c r="H203" s="110"/>
      <c r="J203" s="90"/>
      <c r="K203" s="90"/>
    </row>
    <row r="204" ht="15.75" customHeight="1">
      <c r="D204" s="89"/>
      <c r="F204" s="92"/>
      <c r="G204" s="92"/>
      <c r="H204" s="110"/>
      <c r="J204" s="90"/>
      <c r="K204" s="90"/>
    </row>
    <row r="205" ht="15.75" customHeight="1">
      <c r="D205" s="89"/>
      <c r="F205" s="92"/>
      <c r="G205" s="92"/>
      <c r="H205" s="110"/>
      <c r="J205" s="90"/>
      <c r="K205" s="90"/>
    </row>
    <row r="206" ht="15.75" customHeight="1">
      <c r="D206" s="89"/>
      <c r="F206" s="92"/>
      <c r="G206" s="92"/>
      <c r="H206" s="110"/>
      <c r="J206" s="90"/>
      <c r="K206" s="90"/>
    </row>
    <row r="207" ht="15.75" customHeight="1">
      <c r="D207" s="89"/>
      <c r="F207" s="92"/>
      <c r="G207" s="92"/>
      <c r="H207" s="110"/>
      <c r="J207" s="90"/>
      <c r="K207" s="90"/>
    </row>
    <row r="208" ht="15.75" customHeight="1">
      <c r="D208" s="89"/>
      <c r="F208" s="92"/>
      <c r="G208" s="92"/>
      <c r="H208" s="110"/>
      <c r="J208" s="90"/>
      <c r="K208" s="90"/>
    </row>
    <row r="209" ht="15.75" customHeight="1">
      <c r="D209" s="89"/>
      <c r="F209" s="92"/>
      <c r="G209" s="92"/>
      <c r="H209" s="110"/>
      <c r="J209" s="90"/>
      <c r="K209" s="90"/>
    </row>
    <row r="210" ht="15.75" customHeight="1">
      <c r="D210" s="89"/>
      <c r="F210" s="92"/>
      <c r="G210" s="92"/>
      <c r="H210" s="110"/>
      <c r="J210" s="90"/>
      <c r="K210" s="90"/>
    </row>
    <row r="211" ht="15.75" customHeight="1">
      <c r="D211" s="89"/>
      <c r="F211" s="92"/>
      <c r="G211" s="92"/>
      <c r="H211" s="110"/>
      <c r="J211" s="90"/>
      <c r="K211" s="90"/>
    </row>
    <row r="212" ht="15.75" customHeight="1">
      <c r="D212" s="89"/>
      <c r="F212" s="92"/>
      <c r="G212" s="92"/>
      <c r="H212" s="110"/>
      <c r="J212" s="90"/>
      <c r="K212" s="90"/>
    </row>
    <row r="213" ht="15.75" customHeight="1">
      <c r="D213" s="89"/>
      <c r="F213" s="92"/>
      <c r="G213" s="92"/>
      <c r="H213" s="110"/>
      <c r="J213" s="90"/>
      <c r="K213" s="90"/>
    </row>
    <row r="214" ht="15.75" customHeight="1">
      <c r="D214" s="89"/>
      <c r="F214" s="92"/>
      <c r="G214" s="92"/>
      <c r="H214" s="110"/>
      <c r="J214" s="90"/>
      <c r="K214" s="90"/>
    </row>
    <row r="215" ht="15.75" customHeight="1">
      <c r="D215" s="89"/>
      <c r="F215" s="92"/>
      <c r="G215" s="92"/>
      <c r="H215" s="110"/>
      <c r="J215" s="90"/>
      <c r="K215" s="90"/>
    </row>
    <row r="216" ht="15.75" customHeight="1">
      <c r="D216" s="89"/>
      <c r="F216" s="92"/>
      <c r="G216" s="92"/>
      <c r="H216" s="110"/>
      <c r="J216" s="90"/>
      <c r="K216" s="90"/>
    </row>
    <row r="217" ht="15.75" customHeight="1">
      <c r="D217" s="89"/>
      <c r="F217" s="92"/>
      <c r="G217" s="92"/>
      <c r="H217" s="110"/>
      <c r="J217" s="90"/>
      <c r="K217" s="90"/>
    </row>
    <row r="218" ht="15.75" customHeight="1">
      <c r="D218" s="89"/>
      <c r="F218" s="92"/>
      <c r="G218" s="92"/>
      <c r="H218" s="110"/>
      <c r="J218" s="90"/>
      <c r="K218" s="90"/>
    </row>
    <row r="219" ht="15.75" customHeight="1">
      <c r="D219" s="89"/>
      <c r="F219" s="92"/>
      <c r="G219" s="92"/>
      <c r="H219" s="110"/>
      <c r="J219" s="90"/>
      <c r="K219" s="90"/>
    </row>
    <row r="220" ht="15.75" customHeight="1">
      <c r="D220" s="89"/>
      <c r="F220" s="92"/>
      <c r="G220" s="92"/>
      <c r="H220" s="110"/>
      <c r="J220" s="90"/>
      <c r="K220" s="90"/>
    </row>
    <row r="221" ht="15.75" customHeight="1">
      <c r="D221" s="89"/>
      <c r="F221" s="92"/>
      <c r="G221" s="92"/>
      <c r="H221" s="110"/>
      <c r="J221" s="90"/>
      <c r="K221" s="90"/>
    </row>
    <row r="222" ht="15.75" customHeight="1">
      <c r="D222" s="89"/>
      <c r="F222" s="92"/>
      <c r="G222" s="92"/>
      <c r="H222" s="110"/>
      <c r="J222" s="90"/>
      <c r="K222" s="90"/>
    </row>
    <row r="223" ht="15.75" customHeight="1">
      <c r="D223" s="89"/>
      <c r="F223" s="92"/>
      <c r="G223" s="92"/>
      <c r="H223" s="110"/>
      <c r="J223" s="90"/>
      <c r="K223" s="90"/>
    </row>
    <row r="224" ht="15.75" customHeight="1">
      <c r="D224" s="89"/>
      <c r="F224" s="92"/>
      <c r="G224" s="92"/>
      <c r="H224" s="110"/>
      <c r="J224" s="90"/>
      <c r="K224" s="90"/>
    </row>
    <row r="225" ht="15.75" customHeight="1">
      <c r="D225" s="89"/>
      <c r="F225" s="92"/>
      <c r="G225" s="92"/>
      <c r="H225" s="110"/>
      <c r="J225" s="90"/>
      <c r="K225" s="90"/>
    </row>
    <row r="226" ht="15.75" customHeight="1">
      <c r="D226" s="89"/>
      <c r="F226" s="92"/>
      <c r="G226" s="92"/>
      <c r="H226" s="110"/>
      <c r="J226" s="90"/>
      <c r="K226" s="90"/>
    </row>
    <row r="227" ht="15.75" customHeight="1">
      <c r="D227" s="89"/>
      <c r="F227" s="92"/>
      <c r="G227" s="92"/>
      <c r="H227" s="110"/>
      <c r="J227" s="90"/>
      <c r="K227" s="90"/>
    </row>
    <row r="228" ht="15.75" customHeight="1">
      <c r="D228" s="89"/>
      <c r="F228" s="92"/>
      <c r="G228" s="92"/>
      <c r="H228" s="110"/>
      <c r="J228" s="90"/>
      <c r="K228" s="90"/>
    </row>
    <row r="229" ht="15.75" customHeight="1">
      <c r="D229" s="89"/>
      <c r="F229" s="92"/>
      <c r="G229" s="92"/>
      <c r="H229" s="110"/>
      <c r="J229" s="90"/>
      <c r="K229" s="90"/>
    </row>
    <row r="230" ht="15.75" customHeight="1">
      <c r="D230" s="89"/>
      <c r="F230" s="92"/>
      <c r="G230" s="92"/>
      <c r="H230" s="110"/>
      <c r="J230" s="90"/>
      <c r="K230" s="90"/>
    </row>
    <row r="231" ht="15.75" customHeight="1">
      <c r="D231" s="89"/>
      <c r="F231" s="92"/>
      <c r="G231" s="92"/>
      <c r="H231" s="110"/>
      <c r="J231" s="90"/>
      <c r="K231" s="90"/>
    </row>
    <row r="232" ht="15.75" customHeight="1">
      <c r="D232" s="89"/>
      <c r="F232" s="92"/>
      <c r="G232" s="92"/>
      <c r="H232" s="110"/>
      <c r="J232" s="90"/>
      <c r="K232" s="90"/>
    </row>
    <row r="233" ht="15.75" customHeight="1">
      <c r="D233" s="89"/>
      <c r="F233" s="92"/>
      <c r="G233" s="92"/>
      <c r="H233" s="110"/>
      <c r="J233" s="90"/>
      <c r="K233" s="90"/>
    </row>
    <row r="234" ht="15.75" customHeight="1">
      <c r="D234" s="89"/>
      <c r="F234" s="92"/>
      <c r="G234" s="92"/>
      <c r="H234" s="110"/>
      <c r="J234" s="90"/>
      <c r="K234" s="90"/>
    </row>
    <row r="235" ht="15.75" customHeight="1">
      <c r="D235" s="89"/>
      <c r="F235" s="92"/>
      <c r="G235" s="92"/>
      <c r="H235" s="110"/>
      <c r="J235" s="90"/>
      <c r="K235" s="90"/>
    </row>
    <row r="236" ht="15.75" customHeight="1">
      <c r="D236" s="89"/>
      <c r="F236" s="92"/>
      <c r="G236" s="92"/>
      <c r="H236" s="110"/>
      <c r="J236" s="90"/>
      <c r="K236" s="90"/>
    </row>
    <row r="237" ht="15.75" customHeight="1">
      <c r="D237" s="89"/>
      <c r="F237" s="92"/>
      <c r="G237" s="92"/>
      <c r="H237" s="110"/>
      <c r="J237" s="90"/>
      <c r="K237" s="90"/>
    </row>
    <row r="238" ht="15.75" customHeight="1">
      <c r="D238" s="89"/>
      <c r="F238" s="92"/>
      <c r="G238" s="92"/>
      <c r="H238" s="110"/>
      <c r="J238" s="90"/>
      <c r="K238" s="90"/>
    </row>
    <row r="239" ht="15.75" customHeight="1">
      <c r="D239" s="89"/>
      <c r="F239" s="92"/>
      <c r="G239" s="92"/>
      <c r="H239" s="110"/>
      <c r="J239" s="90"/>
      <c r="K239" s="90"/>
    </row>
    <row r="240" ht="15.75" customHeight="1">
      <c r="D240" s="89"/>
      <c r="F240" s="92"/>
      <c r="G240" s="92"/>
      <c r="H240" s="110"/>
      <c r="J240" s="90"/>
      <c r="K240" s="90"/>
    </row>
    <row r="241" ht="15.75" customHeight="1">
      <c r="D241" s="89"/>
      <c r="F241" s="92"/>
      <c r="G241" s="92"/>
      <c r="H241" s="110"/>
      <c r="J241" s="90"/>
      <c r="K241" s="90"/>
    </row>
    <row r="242" ht="15.75" customHeight="1">
      <c r="D242" s="89"/>
      <c r="F242" s="92"/>
      <c r="G242" s="92"/>
      <c r="H242" s="110"/>
      <c r="J242" s="90"/>
      <c r="K242" s="90"/>
    </row>
    <row r="243" ht="15.75" customHeight="1">
      <c r="D243" s="89"/>
      <c r="F243" s="92"/>
      <c r="G243" s="92"/>
      <c r="H243" s="110"/>
      <c r="J243" s="90"/>
      <c r="K243" s="90"/>
    </row>
    <row r="244" ht="15.75" customHeight="1">
      <c r="D244" s="89"/>
      <c r="F244" s="92"/>
      <c r="G244" s="92"/>
      <c r="H244" s="110"/>
      <c r="J244" s="90"/>
      <c r="K244" s="90"/>
    </row>
    <row r="245" ht="15.75" customHeight="1">
      <c r="D245" s="89"/>
      <c r="F245" s="92"/>
      <c r="G245" s="92"/>
      <c r="H245" s="110"/>
      <c r="J245" s="90"/>
      <c r="K245" s="90"/>
    </row>
    <row r="246" ht="15.75" customHeight="1">
      <c r="D246" s="89"/>
      <c r="F246" s="92"/>
      <c r="G246" s="92"/>
      <c r="H246" s="110"/>
      <c r="J246" s="90"/>
      <c r="K246" s="90"/>
    </row>
    <row r="247" ht="15.75" customHeight="1">
      <c r="D247" s="89"/>
      <c r="F247" s="92"/>
      <c r="G247" s="92"/>
      <c r="H247" s="110"/>
      <c r="J247" s="90"/>
      <c r="K247" s="90"/>
    </row>
    <row r="248" ht="15.75" customHeight="1">
      <c r="D248" s="89"/>
      <c r="F248" s="92"/>
      <c r="G248" s="92"/>
      <c r="H248" s="110"/>
      <c r="J248" s="90"/>
      <c r="K248" s="90"/>
    </row>
    <row r="249" ht="15.75" customHeight="1">
      <c r="D249" s="89"/>
      <c r="F249" s="92"/>
      <c r="G249" s="92"/>
      <c r="H249" s="110"/>
      <c r="J249" s="90"/>
      <c r="K249" s="90"/>
    </row>
    <row r="250" ht="15.75" customHeight="1">
      <c r="D250" s="89"/>
      <c r="F250" s="92"/>
      <c r="G250" s="92"/>
      <c r="H250" s="110"/>
      <c r="J250" s="90"/>
      <c r="K250" s="90"/>
    </row>
    <row r="251" ht="15.75" customHeight="1">
      <c r="D251" s="89"/>
      <c r="F251" s="92"/>
      <c r="G251" s="92"/>
      <c r="H251" s="110"/>
      <c r="J251" s="90"/>
      <c r="K251" s="90"/>
    </row>
    <row r="252" ht="15.75" customHeight="1">
      <c r="D252" s="89"/>
      <c r="F252" s="92"/>
      <c r="G252" s="92"/>
      <c r="H252" s="110"/>
      <c r="J252" s="90"/>
      <c r="K252" s="90"/>
    </row>
    <row r="253" ht="15.75" customHeight="1">
      <c r="D253" s="89"/>
      <c r="F253" s="92"/>
      <c r="G253" s="92"/>
      <c r="H253" s="110"/>
      <c r="J253" s="90"/>
      <c r="K253" s="90"/>
    </row>
    <row r="254" ht="15.75" customHeight="1">
      <c r="D254" s="89"/>
      <c r="F254" s="92"/>
      <c r="G254" s="92"/>
      <c r="H254" s="110"/>
      <c r="J254" s="90"/>
      <c r="K254" s="90"/>
    </row>
    <row r="255" ht="15.75" customHeight="1">
      <c r="D255" s="89"/>
      <c r="F255" s="92"/>
      <c r="G255" s="92"/>
      <c r="H255" s="110"/>
      <c r="J255" s="90"/>
      <c r="K255" s="90"/>
    </row>
    <row r="256" ht="15.75" customHeight="1">
      <c r="D256" s="89"/>
      <c r="F256" s="92"/>
      <c r="G256" s="92"/>
      <c r="H256" s="110"/>
      <c r="J256" s="90"/>
      <c r="K256" s="90"/>
    </row>
    <row r="257" ht="15.75" customHeight="1">
      <c r="D257" s="89"/>
      <c r="F257" s="92"/>
      <c r="G257" s="92"/>
      <c r="H257" s="110"/>
      <c r="J257" s="90"/>
      <c r="K257" s="90"/>
    </row>
    <row r="258" ht="15.75" customHeight="1">
      <c r="D258" s="89"/>
      <c r="F258" s="92"/>
      <c r="G258" s="92"/>
      <c r="H258" s="110"/>
      <c r="J258" s="90"/>
      <c r="K258" s="90"/>
    </row>
    <row r="259" ht="15.75" customHeight="1">
      <c r="D259" s="89"/>
      <c r="F259" s="92"/>
      <c r="G259" s="92"/>
      <c r="H259" s="110"/>
      <c r="J259" s="90"/>
      <c r="K259" s="90"/>
    </row>
    <row r="260" ht="15.75" customHeight="1">
      <c r="D260" s="89"/>
      <c r="F260" s="92"/>
      <c r="G260" s="92"/>
      <c r="H260" s="110"/>
      <c r="J260" s="90"/>
      <c r="K260" s="90"/>
    </row>
    <row r="261" ht="15.75" customHeight="1">
      <c r="D261" s="89"/>
      <c r="F261" s="92"/>
      <c r="G261" s="92"/>
      <c r="H261" s="110"/>
      <c r="J261" s="90"/>
      <c r="K261" s="90"/>
    </row>
    <row r="262" ht="15.75" customHeight="1">
      <c r="D262" s="89"/>
      <c r="F262" s="92"/>
      <c r="G262" s="92"/>
      <c r="H262" s="110"/>
      <c r="J262" s="90"/>
      <c r="K262" s="90"/>
    </row>
    <row r="263" ht="15.75" customHeight="1">
      <c r="D263" s="89"/>
      <c r="F263" s="92"/>
      <c r="G263" s="92"/>
      <c r="H263" s="110"/>
      <c r="J263" s="90"/>
      <c r="K263" s="90"/>
    </row>
    <row r="264" ht="15.75" customHeight="1">
      <c r="D264" s="89"/>
      <c r="F264" s="92"/>
      <c r="G264" s="92"/>
      <c r="H264" s="110"/>
      <c r="J264" s="90"/>
      <c r="K264" s="90"/>
    </row>
    <row r="265" ht="15.75" customHeight="1">
      <c r="D265" s="89"/>
      <c r="F265" s="92"/>
      <c r="G265" s="92"/>
      <c r="H265" s="110"/>
      <c r="J265" s="90"/>
      <c r="K265" s="90"/>
    </row>
    <row r="266" ht="15.75" customHeight="1">
      <c r="D266" s="89"/>
      <c r="F266" s="92"/>
      <c r="G266" s="92"/>
      <c r="H266" s="110"/>
      <c r="J266" s="90"/>
      <c r="K266" s="90"/>
    </row>
    <row r="267" ht="15.75" customHeight="1">
      <c r="D267" s="89"/>
      <c r="F267" s="92"/>
      <c r="G267" s="92"/>
      <c r="H267" s="110"/>
      <c r="J267" s="90"/>
      <c r="K267" s="90"/>
    </row>
    <row r="268" ht="15.75" customHeight="1">
      <c r="D268" s="89"/>
      <c r="F268" s="92"/>
      <c r="G268" s="92"/>
      <c r="H268" s="110"/>
      <c r="J268" s="90"/>
      <c r="K268" s="90"/>
    </row>
    <row r="269" ht="15.75" customHeight="1">
      <c r="D269" s="89"/>
      <c r="F269" s="92"/>
      <c r="G269" s="92"/>
      <c r="H269" s="110"/>
      <c r="J269" s="90"/>
      <c r="K269" s="90"/>
    </row>
    <row r="270" ht="15.75" customHeight="1">
      <c r="D270" s="89"/>
      <c r="F270" s="92"/>
      <c r="G270" s="92"/>
      <c r="H270" s="110"/>
      <c r="J270" s="90"/>
      <c r="K270" s="90"/>
    </row>
    <row r="271" ht="15.75" customHeight="1">
      <c r="D271" s="89"/>
      <c r="F271" s="92"/>
      <c r="G271" s="92"/>
      <c r="H271" s="110"/>
      <c r="J271" s="90"/>
      <c r="K271" s="90"/>
    </row>
    <row r="272" ht="15.75" customHeight="1">
      <c r="D272" s="89"/>
      <c r="F272" s="92"/>
      <c r="G272" s="92"/>
      <c r="H272" s="110"/>
      <c r="J272" s="90"/>
      <c r="K272" s="90"/>
    </row>
    <row r="273" ht="15.75" customHeight="1">
      <c r="D273" s="89"/>
      <c r="F273" s="92"/>
      <c r="G273" s="92"/>
      <c r="H273" s="110"/>
      <c r="J273" s="90"/>
      <c r="K273" s="90"/>
    </row>
    <row r="274" ht="15.75" customHeight="1">
      <c r="D274" s="89"/>
      <c r="F274" s="92"/>
      <c r="G274" s="92"/>
      <c r="H274" s="110"/>
      <c r="J274" s="90"/>
      <c r="K274" s="90"/>
    </row>
    <row r="275" ht="15.75" customHeight="1">
      <c r="D275" s="89"/>
      <c r="F275" s="92"/>
      <c r="G275" s="92"/>
      <c r="H275" s="110"/>
      <c r="J275" s="90"/>
      <c r="K275" s="90"/>
    </row>
    <row r="276" ht="15.75" customHeight="1">
      <c r="D276" s="89"/>
      <c r="F276" s="92"/>
      <c r="G276" s="92"/>
      <c r="H276" s="110"/>
      <c r="J276" s="90"/>
      <c r="K276" s="90"/>
    </row>
    <row r="277" ht="15.75" customHeight="1">
      <c r="D277" s="89"/>
      <c r="F277" s="92"/>
      <c r="G277" s="92"/>
      <c r="H277" s="110"/>
      <c r="J277" s="90"/>
      <c r="K277" s="90"/>
    </row>
    <row r="278" ht="15.75" customHeight="1">
      <c r="D278" s="89"/>
      <c r="F278" s="92"/>
      <c r="G278" s="92"/>
      <c r="H278" s="110"/>
      <c r="J278" s="90"/>
      <c r="K278" s="90"/>
    </row>
    <row r="279" ht="15.75" customHeight="1">
      <c r="D279" s="89"/>
      <c r="F279" s="92"/>
      <c r="G279" s="92"/>
      <c r="H279" s="110"/>
      <c r="J279" s="90"/>
      <c r="K279" s="90"/>
    </row>
    <row r="280" ht="15.75" customHeight="1">
      <c r="D280" s="89"/>
      <c r="F280" s="92"/>
      <c r="G280" s="92"/>
      <c r="H280" s="110"/>
      <c r="J280" s="90"/>
      <c r="K280" s="90"/>
    </row>
    <row r="281" ht="15.75" customHeight="1">
      <c r="D281" s="89"/>
      <c r="F281" s="92"/>
      <c r="G281" s="92"/>
      <c r="H281" s="110"/>
      <c r="J281" s="90"/>
      <c r="K281" s="90"/>
    </row>
    <row r="282" ht="15.75" customHeight="1">
      <c r="D282" s="89"/>
      <c r="F282" s="92"/>
      <c r="G282" s="92"/>
      <c r="H282" s="110"/>
      <c r="J282" s="90"/>
      <c r="K282" s="90"/>
    </row>
    <row r="283" ht="15.75" customHeight="1">
      <c r="D283" s="89"/>
      <c r="F283" s="92"/>
      <c r="G283" s="92"/>
      <c r="H283" s="110"/>
      <c r="J283" s="90"/>
      <c r="K283" s="90"/>
    </row>
    <row r="284" ht="15.75" customHeight="1">
      <c r="D284" s="89"/>
      <c r="F284" s="92"/>
      <c r="G284" s="92"/>
      <c r="H284" s="110"/>
      <c r="J284" s="90"/>
      <c r="K284" s="90"/>
    </row>
    <row r="285" ht="15.75" customHeight="1">
      <c r="D285" s="89"/>
      <c r="F285" s="92"/>
      <c r="G285" s="92"/>
      <c r="H285" s="110"/>
      <c r="J285" s="90"/>
      <c r="K285" s="90"/>
    </row>
    <row r="286" ht="15.75" customHeight="1">
      <c r="D286" s="89"/>
      <c r="F286" s="92"/>
      <c r="G286" s="92"/>
      <c r="H286" s="110"/>
      <c r="J286" s="90"/>
      <c r="K286" s="90"/>
    </row>
    <row r="287" ht="15.75" customHeight="1">
      <c r="D287" s="89"/>
      <c r="F287" s="92"/>
      <c r="G287" s="92"/>
      <c r="H287" s="110"/>
      <c r="J287" s="90"/>
      <c r="K287" s="90"/>
    </row>
    <row r="288" ht="15.75" customHeight="1">
      <c r="D288" s="89"/>
      <c r="F288" s="92"/>
      <c r="G288" s="92"/>
      <c r="H288" s="110"/>
      <c r="J288" s="90"/>
      <c r="K288" s="90"/>
    </row>
    <row r="289" ht="15.75" customHeight="1">
      <c r="D289" s="89"/>
      <c r="F289" s="92"/>
      <c r="G289" s="92"/>
      <c r="H289" s="110"/>
      <c r="J289" s="90"/>
      <c r="K289" s="90"/>
    </row>
    <row r="290" ht="15.75" customHeight="1">
      <c r="D290" s="89"/>
      <c r="F290" s="92"/>
      <c r="G290" s="92"/>
      <c r="H290" s="110"/>
      <c r="J290" s="90"/>
      <c r="K290" s="90"/>
    </row>
    <row r="291" ht="15.75" customHeight="1">
      <c r="D291" s="89"/>
      <c r="F291" s="92"/>
      <c r="G291" s="92"/>
      <c r="H291" s="110"/>
      <c r="J291" s="90"/>
      <c r="K291" s="90"/>
    </row>
    <row r="292" ht="15.75" customHeight="1">
      <c r="D292" s="89"/>
      <c r="F292" s="92"/>
      <c r="G292" s="92"/>
      <c r="H292" s="110"/>
      <c r="J292" s="90"/>
      <c r="K292" s="90"/>
    </row>
    <row r="293" ht="15.75" customHeight="1">
      <c r="D293" s="89"/>
      <c r="F293" s="92"/>
      <c r="G293" s="92"/>
      <c r="H293" s="110"/>
      <c r="J293" s="90"/>
      <c r="K293" s="90"/>
    </row>
    <row r="294" ht="15.75" customHeight="1">
      <c r="D294" s="89"/>
      <c r="F294" s="92"/>
      <c r="G294" s="92"/>
      <c r="H294" s="110"/>
      <c r="J294" s="90"/>
      <c r="K294" s="90"/>
    </row>
    <row r="295" ht="15.75" customHeight="1">
      <c r="D295" s="89"/>
      <c r="F295" s="92"/>
      <c r="G295" s="92"/>
      <c r="H295" s="110"/>
      <c r="J295" s="90"/>
      <c r="K295" s="90"/>
    </row>
    <row r="296" ht="15.75" customHeight="1">
      <c r="D296" s="89"/>
      <c r="F296" s="92"/>
      <c r="G296" s="92"/>
      <c r="H296" s="110"/>
      <c r="J296" s="90"/>
      <c r="K296" s="90"/>
    </row>
    <row r="297" ht="15.75" customHeight="1">
      <c r="D297" s="89"/>
      <c r="F297" s="92"/>
      <c r="G297" s="92"/>
      <c r="H297" s="110"/>
      <c r="J297" s="90"/>
      <c r="K297" s="90"/>
    </row>
    <row r="298" ht="15.75" customHeight="1">
      <c r="D298" s="89"/>
      <c r="F298" s="92"/>
      <c r="G298" s="92"/>
      <c r="H298" s="110"/>
      <c r="J298" s="90"/>
      <c r="K298" s="90"/>
    </row>
    <row r="299" ht="15.75" customHeight="1">
      <c r="D299" s="89"/>
      <c r="F299" s="92"/>
      <c r="G299" s="92"/>
      <c r="H299" s="110"/>
      <c r="J299" s="90"/>
      <c r="K299" s="90"/>
    </row>
    <row r="300" ht="15.75" customHeight="1">
      <c r="D300" s="89"/>
      <c r="F300" s="92"/>
      <c r="G300" s="92"/>
      <c r="H300" s="110"/>
      <c r="J300" s="90"/>
      <c r="K300" s="90"/>
    </row>
    <row r="301" ht="15.75" customHeight="1">
      <c r="D301" s="89"/>
      <c r="F301" s="92"/>
      <c r="G301" s="92"/>
      <c r="H301" s="110"/>
      <c r="J301" s="90"/>
      <c r="K301" s="90"/>
    </row>
    <row r="302" ht="15.75" customHeight="1">
      <c r="D302" s="89"/>
      <c r="F302" s="92"/>
      <c r="G302" s="92"/>
      <c r="H302" s="110"/>
      <c r="J302" s="90"/>
      <c r="K302" s="90"/>
    </row>
    <row r="303" ht="15.75" customHeight="1">
      <c r="D303" s="89"/>
      <c r="F303" s="92"/>
      <c r="G303" s="92"/>
      <c r="H303" s="110"/>
      <c r="J303" s="90"/>
      <c r="K303" s="90"/>
    </row>
    <row r="304" ht="15.75" customHeight="1">
      <c r="D304" s="89"/>
      <c r="F304" s="92"/>
      <c r="G304" s="92"/>
      <c r="H304" s="110"/>
      <c r="J304" s="90"/>
      <c r="K304" s="90"/>
    </row>
    <row r="305" ht="15.75" customHeight="1">
      <c r="D305" s="89"/>
      <c r="F305" s="92"/>
      <c r="G305" s="92"/>
      <c r="H305" s="110"/>
      <c r="J305" s="90"/>
      <c r="K305" s="90"/>
    </row>
    <row r="306" ht="15.75" customHeight="1">
      <c r="D306" s="89"/>
      <c r="F306" s="92"/>
      <c r="G306" s="92"/>
      <c r="H306" s="110"/>
      <c r="J306" s="90"/>
      <c r="K306" s="90"/>
    </row>
    <row r="307" ht="15.75" customHeight="1">
      <c r="D307" s="89"/>
      <c r="F307" s="92"/>
      <c r="G307" s="92"/>
      <c r="H307" s="110"/>
      <c r="J307" s="90"/>
      <c r="K307" s="90"/>
    </row>
    <row r="308" ht="15.75" customHeight="1">
      <c r="D308" s="89"/>
      <c r="F308" s="92"/>
      <c r="G308" s="92"/>
      <c r="H308" s="110"/>
      <c r="J308" s="90"/>
      <c r="K308" s="90"/>
    </row>
    <row r="309" ht="15.75" customHeight="1">
      <c r="D309" s="89"/>
      <c r="F309" s="92"/>
      <c r="G309" s="92"/>
      <c r="H309" s="110"/>
      <c r="J309" s="90"/>
      <c r="K309" s="90"/>
    </row>
    <row r="310" ht="15.75" customHeight="1">
      <c r="D310" s="89"/>
      <c r="F310" s="92"/>
      <c r="G310" s="92"/>
      <c r="H310" s="110"/>
      <c r="J310" s="90"/>
      <c r="K310" s="90"/>
    </row>
    <row r="311" ht="15.75" customHeight="1">
      <c r="D311" s="89"/>
      <c r="F311" s="92"/>
      <c r="G311" s="92"/>
      <c r="H311" s="110"/>
      <c r="J311" s="90"/>
      <c r="K311" s="90"/>
    </row>
    <row r="312" ht="15.75" customHeight="1">
      <c r="D312" s="89"/>
      <c r="F312" s="92"/>
      <c r="G312" s="92"/>
      <c r="H312" s="110"/>
      <c r="J312" s="90"/>
      <c r="K312" s="90"/>
    </row>
    <row r="313" ht="15.75" customHeight="1">
      <c r="D313" s="89"/>
      <c r="F313" s="92"/>
      <c r="G313" s="92"/>
      <c r="H313" s="110"/>
      <c r="J313" s="90"/>
      <c r="K313" s="90"/>
    </row>
    <row r="314" ht="15.75" customHeight="1">
      <c r="D314" s="89"/>
      <c r="F314" s="92"/>
      <c r="G314" s="92"/>
      <c r="H314" s="110"/>
      <c r="J314" s="90"/>
      <c r="K314" s="90"/>
    </row>
    <row r="315" ht="15.75" customHeight="1">
      <c r="D315" s="89"/>
      <c r="F315" s="92"/>
      <c r="G315" s="92"/>
      <c r="H315" s="110"/>
      <c r="J315" s="90"/>
      <c r="K315" s="90"/>
    </row>
    <row r="316" ht="15.75" customHeight="1">
      <c r="D316" s="89"/>
      <c r="F316" s="92"/>
      <c r="G316" s="92"/>
      <c r="H316" s="110"/>
      <c r="J316" s="90"/>
      <c r="K316" s="90"/>
    </row>
    <row r="317" ht="15.75" customHeight="1">
      <c r="D317" s="89"/>
      <c r="F317" s="92"/>
      <c r="G317" s="92"/>
      <c r="H317" s="110"/>
      <c r="J317" s="90"/>
      <c r="K317" s="90"/>
    </row>
    <row r="318" ht="15.75" customHeight="1">
      <c r="D318" s="89"/>
      <c r="F318" s="92"/>
      <c r="G318" s="92"/>
      <c r="H318" s="110"/>
      <c r="J318" s="90"/>
      <c r="K318" s="90"/>
    </row>
    <row r="319" ht="15.75" customHeight="1">
      <c r="D319" s="89"/>
      <c r="F319" s="92"/>
      <c r="G319" s="92"/>
      <c r="H319" s="110"/>
      <c r="J319" s="90"/>
      <c r="K319" s="90"/>
    </row>
    <row r="320" ht="15.75" customHeight="1">
      <c r="D320" s="89"/>
      <c r="F320" s="92"/>
      <c r="G320" s="92"/>
      <c r="H320" s="110"/>
      <c r="J320" s="90"/>
      <c r="K320" s="90"/>
    </row>
    <row r="321" ht="15.75" customHeight="1">
      <c r="D321" s="89"/>
      <c r="F321" s="92"/>
      <c r="G321" s="92"/>
      <c r="H321" s="110"/>
      <c r="J321" s="90"/>
      <c r="K321" s="90"/>
    </row>
    <row r="322" ht="15.75" customHeight="1">
      <c r="D322" s="89"/>
      <c r="F322" s="92"/>
      <c r="G322" s="92"/>
      <c r="H322" s="110"/>
      <c r="J322" s="90"/>
      <c r="K322" s="90"/>
    </row>
    <row r="323" ht="15.75" customHeight="1">
      <c r="D323" s="89"/>
      <c r="F323" s="92"/>
      <c r="G323" s="92"/>
      <c r="H323" s="110"/>
      <c r="J323" s="90"/>
      <c r="K323" s="90"/>
    </row>
    <row r="324" ht="15.75" customHeight="1">
      <c r="D324" s="89"/>
      <c r="F324" s="92"/>
      <c r="G324" s="92"/>
      <c r="H324" s="110"/>
      <c r="J324" s="90"/>
      <c r="K324" s="90"/>
    </row>
    <row r="325" ht="15.75" customHeight="1">
      <c r="D325" s="89"/>
      <c r="F325" s="92"/>
      <c r="G325" s="92"/>
      <c r="H325" s="110"/>
      <c r="J325" s="90"/>
      <c r="K325" s="90"/>
    </row>
    <row r="326" ht="15.75" customHeight="1">
      <c r="D326" s="89"/>
      <c r="F326" s="92"/>
      <c r="G326" s="92"/>
      <c r="H326" s="110"/>
      <c r="J326" s="90"/>
      <c r="K326" s="90"/>
    </row>
    <row r="327" ht="15.75" customHeight="1">
      <c r="D327" s="89"/>
      <c r="F327" s="92"/>
      <c r="G327" s="92"/>
      <c r="H327" s="110"/>
      <c r="J327" s="90"/>
      <c r="K327" s="90"/>
    </row>
    <row r="328" ht="15.75" customHeight="1">
      <c r="D328" s="89"/>
      <c r="F328" s="92"/>
      <c r="G328" s="92"/>
      <c r="H328" s="110"/>
      <c r="J328" s="90"/>
      <c r="K328" s="90"/>
    </row>
    <row r="329" ht="15.75" customHeight="1">
      <c r="D329" s="89"/>
      <c r="F329" s="92"/>
      <c r="G329" s="92"/>
      <c r="H329" s="110"/>
      <c r="J329" s="90"/>
      <c r="K329" s="90"/>
    </row>
    <row r="330" ht="15.75" customHeight="1">
      <c r="D330" s="89"/>
      <c r="F330" s="92"/>
      <c r="G330" s="92"/>
      <c r="H330" s="110"/>
      <c r="J330" s="90"/>
      <c r="K330" s="90"/>
    </row>
    <row r="331" ht="15.75" customHeight="1">
      <c r="D331" s="89"/>
      <c r="F331" s="92"/>
      <c r="G331" s="92"/>
      <c r="H331" s="110"/>
      <c r="J331" s="90"/>
      <c r="K331" s="90"/>
    </row>
    <row r="332" ht="15.75" customHeight="1">
      <c r="D332" s="89"/>
      <c r="F332" s="92"/>
      <c r="G332" s="92"/>
      <c r="H332" s="110"/>
      <c r="J332" s="90"/>
      <c r="K332" s="90"/>
    </row>
    <row r="333" ht="15.75" customHeight="1">
      <c r="D333" s="89"/>
      <c r="F333" s="92"/>
      <c r="G333" s="92"/>
      <c r="H333" s="110"/>
      <c r="J333" s="90"/>
      <c r="K333" s="90"/>
    </row>
    <row r="334" ht="15.75" customHeight="1">
      <c r="D334" s="89"/>
      <c r="F334" s="92"/>
      <c r="G334" s="92"/>
      <c r="H334" s="110"/>
      <c r="J334" s="90"/>
      <c r="K334" s="90"/>
    </row>
    <row r="335" ht="15.75" customHeight="1">
      <c r="D335" s="89"/>
      <c r="F335" s="92"/>
      <c r="G335" s="92"/>
      <c r="H335" s="110"/>
      <c r="J335" s="90"/>
      <c r="K335" s="90"/>
    </row>
    <row r="336" ht="15.75" customHeight="1">
      <c r="D336" s="89"/>
      <c r="F336" s="92"/>
      <c r="G336" s="92"/>
      <c r="H336" s="110"/>
      <c r="J336" s="90"/>
      <c r="K336" s="90"/>
    </row>
    <row r="337" ht="15.75" customHeight="1">
      <c r="D337" s="89"/>
      <c r="F337" s="92"/>
      <c r="G337" s="92"/>
      <c r="H337" s="110"/>
      <c r="J337" s="90"/>
      <c r="K337" s="90"/>
    </row>
    <row r="338" ht="15.75" customHeight="1">
      <c r="D338" s="89"/>
      <c r="F338" s="92"/>
      <c r="G338" s="92"/>
      <c r="H338" s="110"/>
      <c r="J338" s="90"/>
      <c r="K338" s="90"/>
    </row>
    <row r="339" ht="15.75" customHeight="1">
      <c r="D339" s="89"/>
      <c r="F339" s="92"/>
      <c r="G339" s="92"/>
      <c r="H339" s="110"/>
      <c r="J339" s="90"/>
      <c r="K339" s="90"/>
    </row>
    <row r="340" ht="15.75" customHeight="1">
      <c r="D340" s="89"/>
      <c r="F340" s="92"/>
      <c r="G340" s="92"/>
      <c r="H340" s="110"/>
      <c r="J340" s="90"/>
      <c r="K340" s="90"/>
    </row>
    <row r="341" ht="15.75" customHeight="1">
      <c r="D341" s="89"/>
      <c r="F341" s="92"/>
      <c r="G341" s="92"/>
      <c r="H341" s="110"/>
      <c r="J341" s="90"/>
      <c r="K341" s="90"/>
    </row>
    <row r="342" ht="15.75" customHeight="1">
      <c r="D342" s="89"/>
      <c r="F342" s="92"/>
      <c r="G342" s="92"/>
      <c r="H342" s="110"/>
      <c r="J342" s="90"/>
      <c r="K342" s="90"/>
    </row>
    <row r="343" ht="15.75" customHeight="1">
      <c r="D343" s="89"/>
      <c r="F343" s="92"/>
      <c r="G343" s="92"/>
      <c r="H343" s="110"/>
      <c r="J343" s="90"/>
      <c r="K343" s="90"/>
    </row>
    <row r="344" ht="15.75" customHeight="1">
      <c r="D344" s="89"/>
      <c r="F344" s="92"/>
      <c r="G344" s="92"/>
      <c r="H344" s="110"/>
      <c r="J344" s="90"/>
      <c r="K344" s="90"/>
    </row>
    <row r="345" ht="15.75" customHeight="1">
      <c r="D345" s="89"/>
      <c r="F345" s="92"/>
      <c r="G345" s="92"/>
      <c r="H345" s="110"/>
      <c r="J345" s="90"/>
      <c r="K345" s="90"/>
    </row>
    <row r="346" ht="15.75" customHeight="1">
      <c r="D346" s="89"/>
      <c r="F346" s="92"/>
      <c r="G346" s="92"/>
      <c r="H346" s="110"/>
      <c r="J346" s="90"/>
      <c r="K346" s="90"/>
    </row>
    <row r="347" ht="15.75" customHeight="1">
      <c r="D347" s="89"/>
      <c r="F347" s="92"/>
      <c r="G347" s="92"/>
      <c r="H347" s="110"/>
      <c r="J347" s="90"/>
      <c r="K347" s="90"/>
    </row>
    <row r="348" ht="15.75" customHeight="1">
      <c r="D348" s="89"/>
      <c r="F348" s="92"/>
      <c r="G348" s="92"/>
      <c r="H348" s="110"/>
      <c r="J348" s="90"/>
      <c r="K348" s="90"/>
    </row>
    <row r="349" ht="15.75" customHeight="1">
      <c r="D349" s="89"/>
      <c r="F349" s="92"/>
      <c r="G349" s="92"/>
      <c r="H349" s="110"/>
      <c r="J349" s="90"/>
      <c r="K349" s="90"/>
    </row>
    <row r="350" ht="15.75" customHeight="1">
      <c r="D350" s="89"/>
      <c r="F350" s="92"/>
      <c r="G350" s="92"/>
      <c r="H350" s="110"/>
      <c r="J350" s="90"/>
      <c r="K350" s="90"/>
    </row>
    <row r="351" ht="15.75" customHeight="1">
      <c r="D351" s="89"/>
      <c r="F351" s="92"/>
      <c r="G351" s="92"/>
      <c r="H351" s="110"/>
      <c r="J351" s="90"/>
      <c r="K351" s="90"/>
    </row>
    <row r="352" ht="15.75" customHeight="1">
      <c r="D352" s="89"/>
      <c r="F352" s="92"/>
      <c r="G352" s="92"/>
      <c r="H352" s="110"/>
      <c r="J352" s="90"/>
      <c r="K352" s="90"/>
    </row>
    <row r="353" ht="15.75" customHeight="1">
      <c r="D353" s="89"/>
      <c r="F353" s="92"/>
      <c r="G353" s="92"/>
      <c r="H353" s="110"/>
      <c r="J353" s="90"/>
      <c r="K353" s="90"/>
    </row>
    <row r="354" ht="15.75" customHeight="1">
      <c r="D354" s="89"/>
      <c r="F354" s="92"/>
      <c r="G354" s="92"/>
      <c r="H354" s="110"/>
      <c r="J354" s="90"/>
      <c r="K354" s="90"/>
    </row>
    <row r="355" ht="15.75" customHeight="1">
      <c r="D355" s="89"/>
      <c r="F355" s="92"/>
      <c r="G355" s="92"/>
      <c r="H355" s="110"/>
      <c r="J355" s="90"/>
      <c r="K355" s="90"/>
    </row>
    <row r="356" ht="15.75" customHeight="1">
      <c r="D356" s="89"/>
      <c r="F356" s="92"/>
      <c r="G356" s="92"/>
      <c r="H356" s="110"/>
      <c r="J356" s="90"/>
      <c r="K356" s="90"/>
    </row>
    <row r="357" ht="15.75" customHeight="1">
      <c r="D357" s="89"/>
      <c r="F357" s="92"/>
      <c r="G357" s="92"/>
      <c r="H357" s="110"/>
      <c r="J357" s="90"/>
      <c r="K357" s="90"/>
    </row>
    <row r="358" ht="15.75" customHeight="1">
      <c r="D358" s="89"/>
      <c r="F358" s="92"/>
      <c r="G358" s="92"/>
      <c r="H358" s="110"/>
      <c r="J358" s="90"/>
      <c r="K358" s="90"/>
    </row>
    <row r="359" ht="15.75" customHeight="1">
      <c r="D359" s="89"/>
      <c r="F359" s="92"/>
      <c r="G359" s="92"/>
      <c r="H359" s="110"/>
      <c r="J359" s="90"/>
      <c r="K359" s="90"/>
    </row>
    <row r="360" ht="15.75" customHeight="1">
      <c r="D360" s="89"/>
      <c r="F360" s="92"/>
      <c r="G360" s="92"/>
      <c r="H360" s="110"/>
      <c r="J360" s="90"/>
      <c r="K360" s="90"/>
    </row>
    <row r="361" ht="15.75" customHeight="1">
      <c r="D361" s="89"/>
      <c r="F361" s="92"/>
      <c r="G361" s="92"/>
      <c r="H361" s="110"/>
      <c r="J361" s="90"/>
      <c r="K361" s="90"/>
    </row>
    <row r="362" ht="15.75" customHeight="1">
      <c r="D362" s="89"/>
      <c r="F362" s="92"/>
      <c r="G362" s="92"/>
      <c r="H362" s="110"/>
      <c r="J362" s="90"/>
      <c r="K362" s="90"/>
    </row>
    <row r="363" ht="15.75" customHeight="1">
      <c r="D363" s="89"/>
      <c r="F363" s="92"/>
      <c r="G363" s="92"/>
      <c r="H363" s="110"/>
      <c r="J363" s="90"/>
      <c r="K363" s="90"/>
    </row>
    <row r="364" ht="15.75" customHeight="1">
      <c r="D364" s="89"/>
      <c r="F364" s="92"/>
      <c r="G364" s="92"/>
      <c r="H364" s="110"/>
      <c r="J364" s="90"/>
      <c r="K364" s="90"/>
    </row>
    <row r="365" ht="15.75" customHeight="1">
      <c r="D365" s="89"/>
      <c r="F365" s="92"/>
      <c r="G365" s="92"/>
      <c r="H365" s="110"/>
      <c r="J365" s="90"/>
      <c r="K365" s="90"/>
    </row>
    <row r="366" ht="15.75" customHeight="1">
      <c r="D366" s="89"/>
      <c r="F366" s="92"/>
      <c r="G366" s="92"/>
      <c r="H366" s="110"/>
      <c r="J366" s="90"/>
      <c r="K366" s="90"/>
    </row>
    <row r="367" ht="15.75" customHeight="1">
      <c r="D367" s="89"/>
      <c r="F367" s="92"/>
      <c r="G367" s="92"/>
      <c r="H367" s="110"/>
      <c r="J367" s="90"/>
      <c r="K367" s="90"/>
    </row>
    <row r="368" ht="15.75" customHeight="1">
      <c r="D368" s="89"/>
      <c r="F368" s="92"/>
      <c r="G368" s="92"/>
      <c r="H368" s="110"/>
      <c r="J368" s="90"/>
      <c r="K368" s="90"/>
    </row>
    <row r="369" ht="15.75" customHeight="1">
      <c r="D369" s="89"/>
      <c r="F369" s="92"/>
      <c r="G369" s="92"/>
      <c r="H369" s="110"/>
      <c r="J369" s="90"/>
      <c r="K369" s="90"/>
    </row>
    <row r="370" ht="15.75" customHeight="1">
      <c r="D370" s="89"/>
      <c r="F370" s="92"/>
      <c r="G370" s="92"/>
      <c r="H370" s="110"/>
      <c r="J370" s="90"/>
      <c r="K370" s="90"/>
    </row>
    <row r="371" ht="15.75" customHeight="1">
      <c r="D371" s="89"/>
      <c r="F371" s="92"/>
      <c r="G371" s="92"/>
      <c r="H371" s="110"/>
      <c r="J371" s="90"/>
      <c r="K371" s="90"/>
    </row>
    <row r="372" ht="15.75" customHeight="1">
      <c r="D372" s="89"/>
      <c r="F372" s="92"/>
      <c r="G372" s="92"/>
      <c r="H372" s="110"/>
      <c r="J372" s="90"/>
      <c r="K372" s="90"/>
    </row>
    <row r="373" ht="15.75" customHeight="1">
      <c r="D373" s="89"/>
      <c r="F373" s="92"/>
      <c r="G373" s="92"/>
      <c r="H373" s="110"/>
      <c r="J373" s="90"/>
      <c r="K373" s="90"/>
    </row>
    <row r="374" ht="15.75" customHeight="1">
      <c r="D374" s="89"/>
      <c r="F374" s="92"/>
      <c r="G374" s="92"/>
      <c r="H374" s="110"/>
      <c r="J374" s="90"/>
      <c r="K374" s="90"/>
    </row>
    <row r="375" ht="15.75" customHeight="1">
      <c r="D375" s="89"/>
      <c r="F375" s="92"/>
      <c r="G375" s="92"/>
      <c r="H375" s="110"/>
      <c r="J375" s="90"/>
      <c r="K375" s="90"/>
    </row>
    <row r="376" ht="15.75" customHeight="1">
      <c r="D376" s="89"/>
      <c r="F376" s="92"/>
      <c r="G376" s="92"/>
      <c r="H376" s="110"/>
      <c r="J376" s="90"/>
      <c r="K376" s="90"/>
    </row>
    <row r="377" ht="15.75" customHeight="1">
      <c r="D377" s="89"/>
      <c r="F377" s="92"/>
      <c r="G377" s="92"/>
      <c r="H377" s="110"/>
      <c r="J377" s="90"/>
      <c r="K377" s="90"/>
    </row>
    <row r="378" ht="15.75" customHeight="1">
      <c r="D378" s="89"/>
      <c r="F378" s="92"/>
      <c r="G378" s="92"/>
      <c r="H378" s="110"/>
      <c r="J378" s="90"/>
      <c r="K378" s="90"/>
    </row>
    <row r="379" ht="15.75" customHeight="1">
      <c r="D379" s="89"/>
      <c r="F379" s="92"/>
      <c r="G379" s="92"/>
      <c r="H379" s="110"/>
      <c r="J379" s="90"/>
      <c r="K379" s="90"/>
    </row>
    <row r="380" ht="15.75" customHeight="1">
      <c r="D380" s="89"/>
      <c r="F380" s="92"/>
      <c r="G380" s="92"/>
      <c r="H380" s="110"/>
      <c r="J380" s="90"/>
      <c r="K380" s="90"/>
    </row>
    <row r="381" ht="15.75" customHeight="1">
      <c r="D381" s="89"/>
      <c r="F381" s="92"/>
      <c r="G381" s="92"/>
      <c r="H381" s="110"/>
      <c r="J381" s="90"/>
      <c r="K381" s="90"/>
    </row>
    <row r="382" ht="15.75" customHeight="1">
      <c r="D382" s="89"/>
      <c r="F382" s="92"/>
      <c r="G382" s="92"/>
      <c r="H382" s="110"/>
      <c r="J382" s="90"/>
      <c r="K382" s="90"/>
    </row>
    <row r="383" ht="15.75" customHeight="1">
      <c r="D383" s="89"/>
      <c r="F383" s="92"/>
      <c r="G383" s="92"/>
      <c r="H383" s="110"/>
      <c r="J383" s="90"/>
      <c r="K383" s="90"/>
    </row>
    <row r="384" ht="15.75" customHeight="1">
      <c r="D384" s="89"/>
      <c r="F384" s="92"/>
      <c r="G384" s="92"/>
      <c r="H384" s="110"/>
      <c r="J384" s="90"/>
      <c r="K384" s="90"/>
    </row>
    <row r="385" ht="15.75" customHeight="1">
      <c r="D385" s="89"/>
      <c r="F385" s="92"/>
      <c r="G385" s="92"/>
      <c r="H385" s="110"/>
      <c r="J385" s="90"/>
      <c r="K385" s="90"/>
    </row>
    <row r="386" ht="15.75" customHeight="1">
      <c r="D386" s="89"/>
      <c r="F386" s="92"/>
      <c r="G386" s="92"/>
      <c r="H386" s="110"/>
      <c r="J386" s="90"/>
      <c r="K386" s="90"/>
    </row>
    <row r="387" ht="15.75" customHeight="1">
      <c r="D387" s="89"/>
      <c r="F387" s="92"/>
      <c r="G387" s="92"/>
      <c r="H387" s="110"/>
      <c r="J387" s="90"/>
      <c r="K387" s="90"/>
    </row>
    <row r="388" ht="15.75" customHeight="1">
      <c r="D388" s="89"/>
      <c r="F388" s="92"/>
      <c r="G388" s="92"/>
      <c r="H388" s="110"/>
      <c r="J388" s="90"/>
      <c r="K388" s="90"/>
    </row>
    <row r="389" ht="15.75" customHeight="1">
      <c r="D389" s="89"/>
      <c r="F389" s="92"/>
      <c r="G389" s="92"/>
      <c r="H389" s="110"/>
      <c r="J389" s="90"/>
      <c r="K389" s="90"/>
    </row>
    <row r="390" ht="15.75" customHeight="1">
      <c r="D390" s="89"/>
      <c r="F390" s="92"/>
      <c r="G390" s="92"/>
      <c r="H390" s="110"/>
      <c r="J390" s="90"/>
      <c r="K390" s="90"/>
    </row>
    <row r="391" ht="15.75" customHeight="1">
      <c r="D391" s="89"/>
      <c r="F391" s="92"/>
      <c r="G391" s="92"/>
      <c r="H391" s="110"/>
      <c r="J391" s="90"/>
      <c r="K391" s="90"/>
    </row>
    <row r="392" ht="15.75" customHeight="1">
      <c r="D392" s="89"/>
      <c r="F392" s="92"/>
      <c r="G392" s="92"/>
      <c r="H392" s="110"/>
      <c r="J392" s="90"/>
      <c r="K392" s="90"/>
    </row>
    <row r="393" ht="15.75" customHeight="1">
      <c r="D393" s="89"/>
      <c r="F393" s="92"/>
      <c r="G393" s="92"/>
      <c r="H393" s="110"/>
      <c r="J393" s="90"/>
      <c r="K393" s="90"/>
    </row>
    <row r="394" ht="15.75" customHeight="1">
      <c r="D394" s="89"/>
      <c r="F394" s="92"/>
      <c r="G394" s="92"/>
      <c r="H394" s="110"/>
      <c r="J394" s="90"/>
      <c r="K394" s="90"/>
    </row>
    <row r="395" ht="15.75" customHeight="1">
      <c r="D395" s="89"/>
      <c r="F395" s="92"/>
      <c r="G395" s="92"/>
      <c r="H395" s="110"/>
      <c r="J395" s="90"/>
      <c r="K395" s="90"/>
    </row>
    <row r="396" ht="15.75" customHeight="1">
      <c r="D396" s="89"/>
      <c r="F396" s="92"/>
      <c r="G396" s="92"/>
      <c r="H396" s="110"/>
      <c r="J396" s="90"/>
      <c r="K396" s="90"/>
    </row>
    <row r="397" ht="15.75" customHeight="1">
      <c r="D397" s="89"/>
      <c r="F397" s="92"/>
      <c r="G397" s="92"/>
      <c r="H397" s="110"/>
      <c r="J397" s="90"/>
      <c r="K397" s="90"/>
    </row>
    <row r="398" ht="15.75" customHeight="1">
      <c r="D398" s="89"/>
      <c r="F398" s="92"/>
      <c r="G398" s="92"/>
      <c r="H398" s="110"/>
      <c r="J398" s="90"/>
      <c r="K398" s="90"/>
    </row>
    <row r="399" ht="15.75" customHeight="1">
      <c r="D399" s="89"/>
      <c r="F399" s="92"/>
      <c r="G399" s="92"/>
      <c r="H399" s="110"/>
      <c r="J399" s="90"/>
      <c r="K399" s="90"/>
    </row>
    <row r="400" ht="15.75" customHeight="1">
      <c r="D400" s="89"/>
      <c r="F400" s="92"/>
      <c r="G400" s="92"/>
      <c r="H400" s="110"/>
      <c r="J400" s="90"/>
      <c r="K400" s="90"/>
    </row>
    <row r="401" ht="15.75" customHeight="1">
      <c r="D401" s="89"/>
      <c r="F401" s="92"/>
      <c r="G401" s="92"/>
      <c r="H401" s="110"/>
      <c r="J401" s="90"/>
      <c r="K401" s="90"/>
    </row>
    <row r="402" ht="15.75" customHeight="1">
      <c r="D402" s="89"/>
      <c r="F402" s="92"/>
      <c r="G402" s="92"/>
      <c r="H402" s="110"/>
      <c r="J402" s="90"/>
      <c r="K402" s="90"/>
    </row>
    <row r="403" ht="15.75" customHeight="1">
      <c r="D403" s="89"/>
      <c r="F403" s="92"/>
      <c r="G403" s="92"/>
      <c r="H403" s="110"/>
      <c r="J403" s="90"/>
      <c r="K403" s="90"/>
    </row>
    <row r="404" ht="15.75" customHeight="1">
      <c r="D404" s="89"/>
      <c r="F404" s="92"/>
      <c r="G404" s="92"/>
      <c r="H404" s="110"/>
      <c r="J404" s="90"/>
      <c r="K404" s="90"/>
    </row>
    <row r="405" ht="15.75" customHeight="1">
      <c r="D405" s="89"/>
      <c r="F405" s="92"/>
      <c r="G405" s="92"/>
      <c r="H405" s="110"/>
      <c r="J405" s="90"/>
      <c r="K405" s="90"/>
    </row>
    <row r="406" ht="15.75" customHeight="1">
      <c r="D406" s="89"/>
      <c r="F406" s="92"/>
      <c r="G406" s="92"/>
      <c r="H406" s="110"/>
      <c r="J406" s="90"/>
      <c r="K406" s="90"/>
    </row>
    <row r="407" ht="15.75" customHeight="1">
      <c r="D407" s="89"/>
      <c r="F407" s="92"/>
      <c r="G407" s="92"/>
      <c r="H407" s="110"/>
      <c r="J407" s="90"/>
      <c r="K407" s="90"/>
    </row>
    <row r="408" ht="15.75" customHeight="1">
      <c r="D408" s="89"/>
      <c r="F408" s="92"/>
      <c r="G408" s="92"/>
      <c r="H408" s="110"/>
      <c r="J408" s="90"/>
      <c r="K408" s="90"/>
    </row>
    <row r="409" ht="15.75" customHeight="1">
      <c r="D409" s="89"/>
      <c r="F409" s="92"/>
      <c r="G409" s="92"/>
      <c r="H409" s="110"/>
      <c r="J409" s="90"/>
      <c r="K409" s="90"/>
    </row>
    <row r="410" ht="15.75" customHeight="1">
      <c r="D410" s="89"/>
      <c r="F410" s="92"/>
      <c r="G410" s="92"/>
      <c r="H410" s="110"/>
      <c r="J410" s="90"/>
      <c r="K410" s="90"/>
    </row>
    <row r="411" ht="15.75" customHeight="1">
      <c r="D411" s="89"/>
      <c r="F411" s="92"/>
      <c r="G411" s="92"/>
      <c r="H411" s="110"/>
      <c r="J411" s="90"/>
      <c r="K411" s="90"/>
    </row>
    <row r="412" ht="15.75" customHeight="1">
      <c r="D412" s="89"/>
      <c r="F412" s="92"/>
      <c r="G412" s="92"/>
      <c r="H412" s="110"/>
      <c r="J412" s="90"/>
      <c r="K412" s="90"/>
    </row>
    <row r="413" ht="15.75" customHeight="1">
      <c r="D413" s="89"/>
      <c r="F413" s="92"/>
      <c r="G413" s="92"/>
      <c r="H413" s="110"/>
      <c r="J413" s="90"/>
      <c r="K413" s="90"/>
    </row>
    <row r="414" ht="15.75" customHeight="1">
      <c r="D414" s="89"/>
      <c r="F414" s="92"/>
      <c r="G414" s="92"/>
      <c r="H414" s="110"/>
      <c r="J414" s="90"/>
      <c r="K414" s="90"/>
    </row>
    <row r="415" ht="15.75" customHeight="1">
      <c r="D415" s="89"/>
      <c r="F415" s="92"/>
      <c r="G415" s="92"/>
      <c r="H415" s="110"/>
      <c r="J415" s="90"/>
      <c r="K415" s="90"/>
    </row>
    <row r="416" ht="15.75" customHeight="1">
      <c r="D416" s="89"/>
      <c r="F416" s="92"/>
      <c r="G416" s="92"/>
      <c r="H416" s="110"/>
      <c r="J416" s="90"/>
      <c r="K416" s="90"/>
    </row>
    <row r="417" ht="15.75" customHeight="1">
      <c r="D417" s="89"/>
      <c r="F417" s="92"/>
      <c r="G417" s="92"/>
      <c r="H417" s="110"/>
      <c r="J417" s="90"/>
      <c r="K417" s="90"/>
    </row>
    <row r="418" ht="15.75" customHeight="1">
      <c r="D418" s="89"/>
      <c r="F418" s="92"/>
      <c r="G418" s="92"/>
      <c r="H418" s="110"/>
      <c r="J418" s="90"/>
      <c r="K418" s="90"/>
    </row>
    <row r="419" ht="15.75" customHeight="1">
      <c r="D419" s="89"/>
      <c r="F419" s="92"/>
      <c r="G419" s="92"/>
      <c r="H419" s="110"/>
      <c r="J419" s="90"/>
      <c r="K419" s="90"/>
    </row>
    <row r="420" ht="15.75" customHeight="1">
      <c r="D420" s="89"/>
      <c r="F420" s="92"/>
      <c r="G420" s="92"/>
      <c r="H420" s="110"/>
      <c r="J420" s="90"/>
      <c r="K420" s="90"/>
    </row>
    <row r="421" ht="15.75" customHeight="1">
      <c r="D421" s="89"/>
      <c r="F421" s="92"/>
      <c r="G421" s="92"/>
      <c r="H421" s="110"/>
      <c r="J421" s="90"/>
      <c r="K421" s="90"/>
    </row>
    <row r="422" ht="15.75" customHeight="1">
      <c r="D422" s="89"/>
      <c r="F422" s="92"/>
      <c r="G422" s="92"/>
      <c r="H422" s="110"/>
      <c r="J422" s="90"/>
      <c r="K422" s="90"/>
    </row>
    <row r="423" ht="15.75" customHeight="1">
      <c r="D423" s="89"/>
      <c r="F423" s="92"/>
      <c r="G423" s="92"/>
      <c r="H423" s="110"/>
      <c r="J423" s="90"/>
      <c r="K423" s="90"/>
    </row>
    <row r="424" ht="15.75" customHeight="1">
      <c r="D424" s="89"/>
      <c r="F424" s="92"/>
      <c r="G424" s="92"/>
      <c r="H424" s="110"/>
      <c r="J424" s="90"/>
      <c r="K424" s="90"/>
    </row>
    <row r="425" ht="15.75" customHeight="1">
      <c r="D425" s="89"/>
      <c r="F425" s="92"/>
      <c r="G425" s="92"/>
      <c r="H425" s="110"/>
      <c r="J425" s="90"/>
      <c r="K425" s="90"/>
    </row>
    <row r="426" ht="15.75" customHeight="1">
      <c r="D426" s="89"/>
      <c r="F426" s="92"/>
      <c r="G426" s="92"/>
      <c r="H426" s="110"/>
      <c r="J426" s="90"/>
      <c r="K426" s="90"/>
    </row>
    <row r="427" ht="15.75" customHeight="1">
      <c r="D427" s="89"/>
      <c r="F427" s="92"/>
      <c r="G427" s="92"/>
      <c r="H427" s="110"/>
      <c r="J427" s="90"/>
      <c r="K427" s="90"/>
    </row>
    <row r="428" ht="15.75" customHeight="1">
      <c r="D428" s="89"/>
      <c r="F428" s="92"/>
      <c r="G428" s="92"/>
      <c r="H428" s="110"/>
      <c r="J428" s="90"/>
      <c r="K428" s="90"/>
    </row>
    <row r="429" ht="15.75" customHeight="1">
      <c r="D429" s="89"/>
      <c r="F429" s="92"/>
      <c r="G429" s="92"/>
      <c r="H429" s="110"/>
      <c r="J429" s="90"/>
      <c r="K429" s="90"/>
    </row>
    <row r="430" ht="15.75" customHeight="1">
      <c r="D430" s="89"/>
      <c r="F430" s="92"/>
      <c r="G430" s="92"/>
      <c r="H430" s="110"/>
      <c r="J430" s="90"/>
      <c r="K430" s="90"/>
    </row>
    <row r="431" ht="15.75" customHeight="1">
      <c r="D431" s="89"/>
      <c r="F431" s="92"/>
      <c r="G431" s="92"/>
      <c r="H431" s="110"/>
      <c r="J431" s="90"/>
      <c r="K431" s="90"/>
    </row>
    <row r="432" ht="15.75" customHeight="1">
      <c r="D432" s="89"/>
      <c r="F432" s="92"/>
      <c r="G432" s="92"/>
      <c r="H432" s="110"/>
      <c r="J432" s="90"/>
      <c r="K432" s="90"/>
    </row>
    <row r="433" ht="15.75" customHeight="1">
      <c r="D433" s="89"/>
      <c r="F433" s="92"/>
      <c r="G433" s="92"/>
      <c r="H433" s="110"/>
      <c r="J433" s="90"/>
      <c r="K433" s="90"/>
    </row>
    <row r="434" ht="15.75" customHeight="1">
      <c r="D434" s="89"/>
      <c r="F434" s="92"/>
      <c r="G434" s="92"/>
      <c r="H434" s="110"/>
      <c r="J434" s="90"/>
      <c r="K434" s="90"/>
    </row>
    <row r="435" ht="15.75" customHeight="1">
      <c r="D435" s="89"/>
      <c r="F435" s="92"/>
      <c r="G435" s="92"/>
      <c r="H435" s="110"/>
      <c r="J435" s="90"/>
      <c r="K435" s="90"/>
    </row>
    <row r="436" ht="15.75" customHeight="1">
      <c r="D436" s="89"/>
      <c r="F436" s="92"/>
      <c r="G436" s="92"/>
      <c r="H436" s="110"/>
      <c r="J436" s="90"/>
      <c r="K436" s="90"/>
    </row>
    <row r="437" ht="15.75" customHeight="1">
      <c r="D437" s="89"/>
      <c r="F437" s="92"/>
      <c r="G437" s="92"/>
      <c r="H437" s="110"/>
      <c r="J437" s="90"/>
      <c r="K437" s="90"/>
    </row>
    <row r="438" ht="15.75" customHeight="1">
      <c r="D438" s="89"/>
      <c r="F438" s="92"/>
      <c r="G438" s="92"/>
      <c r="H438" s="110"/>
      <c r="J438" s="90"/>
      <c r="K438" s="90"/>
    </row>
    <row r="439" ht="15.75" customHeight="1">
      <c r="D439" s="89"/>
      <c r="F439" s="92"/>
      <c r="G439" s="92"/>
      <c r="H439" s="110"/>
      <c r="J439" s="90"/>
      <c r="K439" s="90"/>
    </row>
    <row r="440" ht="15.75" customHeight="1">
      <c r="D440" s="89"/>
      <c r="F440" s="92"/>
      <c r="G440" s="92"/>
      <c r="H440" s="110"/>
      <c r="J440" s="90"/>
      <c r="K440" s="90"/>
    </row>
    <row r="441" ht="15.75" customHeight="1">
      <c r="D441" s="89"/>
      <c r="F441" s="92"/>
      <c r="G441" s="92"/>
      <c r="H441" s="110"/>
      <c r="J441" s="90"/>
      <c r="K441" s="90"/>
    </row>
    <row r="442" ht="15.75" customHeight="1">
      <c r="D442" s="89"/>
      <c r="F442" s="92"/>
      <c r="G442" s="92"/>
      <c r="H442" s="110"/>
      <c r="J442" s="90"/>
      <c r="K442" s="90"/>
    </row>
    <row r="443" ht="15.75" customHeight="1">
      <c r="D443" s="89"/>
      <c r="F443" s="92"/>
      <c r="G443" s="92"/>
      <c r="H443" s="110"/>
      <c r="J443" s="90"/>
      <c r="K443" s="90"/>
    </row>
    <row r="444" ht="15.75" customHeight="1">
      <c r="D444" s="89"/>
      <c r="F444" s="92"/>
      <c r="G444" s="92"/>
      <c r="H444" s="110"/>
      <c r="J444" s="90"/>
      <c r="K444" s="90"/>
    </row>
    <row r="445" ht="15.75" customHeight="1">
      <c r="D445" s="89"/>
      <c r="F445" s="92"/>
      <c r="G445" s="92"/>
      <c r="H445" s="110"/>
      <c r="J445" s="90"/>
      <c r="K445" s="90"/>
    </row>
    <row r="446" ht="15.75" customHeight="1">
      <c r="D446" s="89"/>
      <c r="F446" s="92"/>
      <c r="G446" s="92"/>
      <c r="H446" s="110"/>
      <c r="J446" s="90"/>
      <c r="K446" s="90"/>
    </row>
    <row r="447" ht="15.75" customHeight="1">
      <c r="D447" s="89"/>
      <c r="F447" s="92"/>
      <c r="G447" s="92"/>
      <c r="H447" s="110"/>
      <c r="J447" s="90"/>
      <c r="K447" s="90"/>
    </row>
    <row r="448" ht="15.75" customHeight="1">
      <c r="D448" s="89"/>
      <c r="F448" s="92"/>
      <c r="G448" s="92"/>
      <c r="H448" s="110"/>
      <c r="J448" s="90"/>
      <c r="K448" s="90"/>
    </row>
    <row r="449" ht="15.75" customHeight="1">
      <c r="D449" s="89"/>
      <c r="F449" s="92"/>
      <c r="G449" s="92"/>
      <c r="H449" s="110"/>
      <c r="J449" s="90"/>
      <c r="K449" s="90"/>
    </row>
    <row r="450" ht="15.75" customHeight="1">
      <c r="D450" s="89"/>
      <c r="F450" s="92"/>
      <c r="G450" s="92"/>
      <c r="H450" s="110"/>
      <c r="J450" s="90"/>
      <c r="K450" s="90"/>
    </row>
    <row r="451" ht="15.75" customHeight="1">
      <c r="D451" s="89"/>
      <c r="F451" s="92"/>
      <c r="G451" s="92"/>
      <c r="H451" s="110"/>
      <c r="J451" s="90"/>
      <c r="K451" s="90"/>
    </row>
    <row r="452" ht="15.75" customHeight="1">
      <c r="D452" s="89"/>
      <c r="F452" s="92"/>
      <c r="G452" s="92"/>
      <c r="H452" s="110"/>
      <c r="J452" s="90"/>
      <c r="K452" s="90"/>
    </row>
    <row r="453" ht="15.75" customHeight="1">
      <c r="D453" s="89"/>
      <c r="F453" s="92"/>
      <c r="G453" s="92"/>
      <c r="H453" s="110"/>
      <c r="J453" s="90"/>
      <c r="K453" s="90"/>
    </row>
    <row r="454" ht="15.75" customHeight="1">
      <c r="D454" s="89"/>
      <c r="F454" s="92"/>
      <c r="G454" s="92"/>
      <c r="H454" s="110"/>
      <c r="J454" s="90"/>
      <c r="K454" s="90"/>
    </row>
    <row r="455" ht="15.75" customHeight="1">
      <c r="D455" s="89"/>
      <c r="F455" s="92"/>
      <c r="G455" s="92"/>
      <c r="H455" s="110"/>
      <c r="J455" s="90"/>
      <c r="K455" s="90"/>
    </row>
    <row r="456" ht="15.75" customHeight="1">
      <c r="D456" s="89"/>
      <c r="F456" s="92"/>
      <c r="G456" s="92"/>
      <c r="H456" s="110"/>
      <c r="J456" s="90"/>
      <c r="K456" s="90"/>
    </row>
    <row r="457" ht="15.75" customHeight="1">
      <c r="D457" s="89"/>
      <c r="F457" s="92"/>
      <c r="G457" s="92"/>
      <c r="H457" s="110"/>
      <c r="J457" s="90"/>
      <c r="K457" s="90"/>
    </row>
    <row r="458" ht="15.75" customHeight="1">
      <c r="D458" s="89"/>
      <c r="F458" s="92"/>
      <c r="G458" s="92"/>
      <c r="H458" s="110"/>
      <c r="J458" s="90"/>
      <c r="K458" s="90"/>
    </row>
    <row r="459" ht="15.75" customHeight="1">
      <c r="D459" s="89"/>
      <c r="F459" s="92"/>
      <c r="G459" s="92"/>
      <c r="H459" s="110"/>
      <c r="J459" s="90"/>
      <c r="K459" s="90"/>
    </row>
    <row r="460" ht="15.75" customHeight="1">
      <c r="D460" s="89"/>
      <c r="F460" s="92"/>
      <c r="G460" s="92"/>
      <c r="H460" s="110"/>
      <c r="J460" s="90"/>
      <c r="K460" s="90"/>
    </row>
    <row r="461" ht="15.75" customHeight="1">
      <c r="D461" s="89"/>
      <c r="F461" s="92"/>
      <c r="G461" s="92"/>
      <c r="H461" s="110"/>
      <c r="J461" s="90"/>
      <c r="K461" s="90"/>
    </row>
    <row r="462" ht="15.75" customHeight="1">
      <c r="D462" s="89"/>
      <c r="F462" s="92"/>
      <c r="G462" s="92"/>
      <c r="H462" s="110"/>
      <c r="J462" s="90"/>
      <c r="K462" s="90"/>
    </row>
    <row r="463" ht="15.75" customHeight="1">
      <c r="D463" s="89"/>
      <c r="F463" s="92"/>
      <c r="G463" s="92"/>
      <c r="H463" s="110"/>
      <c r="J463" s="90"/>
      <c r="K463" s="90"/>
    </row>
    <row r="464" ht="15.75" customHeight="1">
      <c r="D464" s="89"/>
      <c r="F464" s="92"/>
      <c r="G464" s="92"/>
      <c r="H464" s="110"/>
      <c r="J464" s="90"/>
      <c r="K464" s="90"/>
    </row>
    <row r="465" ht="15.75" customHeight="1">
      <c r="D465" s="89"/>
      <c r="F465" s="92"/>
      <c r="G465" s="92"/>
      <c r="H465" s="110"/>
      <c r="J465" s="90"/>
      <c r="K465" s="90"/>
    </row>
    <row r="466" ht="15.75" customHeight="1">
      <c r="D466" s="89"/>
      <c r="F466" s="92"/>
      <c r="G466" s="92"/>
      <c r="H466" s="110"/>
      <c r="J466" s="90"/>
      <c r="K466" s="90"/>
    </row>
    <row r="467" ht="15.75" customHeight="1">
      <c r="D467" s="89"/>
      <c r="F467" s="92"/>
      <c r="G467" s="92"/>
      <c r="H467" s="110"/>
      <c r="J467" s="90"/>
      <c r="K467" s="90"/>
    </row>
    <row r="468" ht="15.75" customHeight="1">
      <c r="D468" s="89"/>
      <c r="F468" s="92"/>
      <c r="G468" s="92"/>
      <c r="H468" s="110"/>
      <c r="J468" s="90"/>
      <c r="K468" s="90"/>
    </row>
    <row r="469" ht="15.75" customHeight="1">
      <c r="D469" s="89"/>
      <c r="F469" s="92"/>
      <c r="G469" s="92"/>
      <c r="H469" s="110"/>
      <c r="J469" s="90"/>
      <c r="K469" s="90"/>
    </row>
    <row r="470" ht="15.75" customHeight="1">
      <c r="D470" s="89"/>
      <c r="F470" s="92"/>
      <c r="G470" s="92"/>
      <c r="H470" s="110"/>
      <c r="J470" s="90"/>
      <c r="K470" s="90"/>
    </row>
    <row r="471" ht="15.75" customHeight="1">
      <c r="D471" s="89"/>
      <c r="F471" s="92"/>
      <c r="G471" s="92"/>
      <c r="H471" s="110"/>
      <c r="J471" s="90"/>
      <c r="K471" s="90"/>
    </row>
    <row r="472" ht="15.75" customHeight="1">
      <c r="D472" s="89"/>
      <c r="F472" s="92"/>
      <c r="G472" s="92"/>
      <c r="H472" s="110"/>
      <c r="J472" s="90"/>
      <c r="K472" s="90"/>
    </row>
    <row r="473" ht="15.75" customHeight="1">
      <c r="D473" s="89"/>
      <c r="F473" s="92"/>
      <c r="G473" s="92"/>
      <c r="H473" s="110"/>
      <c r="J473" s="90"/>
      <c r="K473" s="90"/>
    </row>
    <row r="474" ht="15.75" customHeight="1">
      <c r="D474" s="89"/>
      <c r="F474" s="92"/>
      <c r="G474" s="92"/>
      <c r="H474" s="110"/>
      <c r="J474" s="90"/>
      <c r="K474" s="90"/>
    </row>
    <row r="475" ht="15.75" customHeight="1">
      <c r="D475" s="89"/>
      <c r="F475" s="92"/>
      <c r="G475" s="92"/>
      <c r="H475" s="110"/>
      <c r="J475" s="90"/>
      <c r="K475" s="90"/>
    </row>
    <row r="476" ht="15.75" customHeight="1">
      <c r="D476" s="89"/>
      <c r="F476" s="92"/>
      <c r="G476" s="92"/>
      <c r="H476" s="110"/>
      <c r="J476" s="90"/>
      <c r="K476" s="90"/>
    </row>
    <row r="477" ht="15.75" customHeight="1">
      <c r="D477" s="89"/>
      <c r="F477" s="92"/>
      <c r="G477" s="92"/>
      <c r="H477" s="110"/>
      <c r="J477" s="90"/>
      <c r="K477" s="90"/>
    </row>
    <row r="478" ht="15.75" customHeight="1">
      <c r="D478" s="89"/>
      <c r="F478" s="92"/>
      <c r="G478" s="92"/>
      <c r="H478" s="110"/>
      <c r="J478" s="90"/>
      <c r="K478" s="90"/>
    </row>
    <row r="479" ht="15.75" customHeight="1">
      <c r="D479" s="89"/>
      <c r="F479" s="92"/>
      <c r="G479" s="92"/>
      <c r="H479" s="110"/>
      <c r="J479" s="90"/>
      <c r="K479" s="90"/>
    </row>
    <row r="480" ht="15.75" customHeight="1">
      <c r="D480" s="89"/>
      <c r="F480" s="92"/>
      <c r="G480" s="92"/>
      <c r="H480" s="110"/>
      <c r="J480" s="90"/>
      <c r="K480" s="90"/>
    </row>
    <row r="481" ht="15.75" customHeight="1">
      <c r="D481" s="89"/>
      <c r="F481" s="92"/>
      <c r="G481" s="92"/>
      <c r="H481" s="110"/>
      <c r="J481" s="90"/>
      <c r="K481" s="90"/>
    </row>
    <row r="482" ht="15.75" customHeight="1">
      <c r="D482" s="89"/>
      <c r="F482" s="92"/>
      <c r="G482" s="92"/>
      <c r="H482" s="110"/>
      <c r="J482" s="90"/>
      <c r="K482" s="90"/>
    </row>
    <row r="483" ht="15.75" customHeight="1">
      <c r="D483" s="89"/>
      <c r="F483" s="92"/>
      <c r="G483" s="92"/>
      <c r="H483" s="110"/>
      <c r="J483" s="90"/>
      <c r="K483" s="90"/>
    </row>
    <row r="484" ht="15.75" customHeight="1">
      <c r="D484" s="89"/>
      <c r="F484" s="92"/>
      <c r="G484" s="92"/>
      <c r="H484" s="110"/>
      <c r="J484" s="90"/>
      <c r="K484" s="90"/>
    </row>
    <row r="485" ht="15.75" customHeight="1">
      <c r="D485" s="89"/>
      <c r="F485" s="92"/>
      <c r="G485" s="92"/>
      <c r="H485" s="110"/>
      <c r="J485" s="90"/>
      <c r="K485" s="90"/>
    </row>
    <row r="486" ht="15.75" customHeight="1">
      <c r="D486" s="89"/>
      <c r="F486" s="92"/>
      <c r="G486" s="92"/>
      <c r="H486" s="110"/>
      <c r="J486" s="90"/>
      <c r="K486" s="90"/>
    </row>
    <row r="487" ht="15.75" customHeight="1">
      <c r="D487" s="89"/>
      <c r="F487" s="92"/>
      <c r="G487" s="92"/>
      <c r="H487" s="110"/>
      <c r="J487" s="90"/>
      <c r="K487" s="90"/>
    </row>
    <row r="488" ht="15.75" customHeight="1">
      <c r="D488" s="89"/>
      <c r="F488" s="92"/>
      <c r="G488" s="92"/>
      <c r="H488" s="110"/>
      <c r="J488" s="90"/>
      <c r="K488" s="90"/>
    </row>
    <row r="489" ht="15.75" customHeight="1">
      <c r="D489" s="89"/>
      <c r="F489" s="92"/>
      <c r="G489" s="92"/>
      <c r="H489" s="110"/>
      <c r="J489" s="90"/>
      <c r="K489" s="90"/>
    </row>
    <row r="490" ht="15.75" customHeight="1">
      <c r="D490" s="89"/>
      <c r="F490" s="92"/>
      <c r="G490" s="92"/>
      <c r="H490" s="110"/>
      <c r="J490" s="90"/>
      <c r="K490" s="90"/>
    </row>
    <row r="491" ht="15.75" customHeight="1">
      <c r="D491" s="89"/>
      <c r="F491" s="92"/>
      <c r="G491" s="92"/>
      <c r="H491" s="110"/>
      <c r="J491" s="90"/>
      <c r="K491" s="90"/>
    </row>
    <row r="492" ht="15.75" customHeight="1">
      <c r="D492" s="89"/>
      <c r="F492" s="92"/>
      <c r="G492" s="92"/>
      <c r="H492" s="110"/>
      <c r="J492" s="90"/>
      <c r="K492" s="90"/>
    </row>
    <row r="493" ht="15.75" customHeight="1">
      <c r="D493" s="89"/>
      <c r="F493" s="92"/>
      <c r="G493" s="92"/>
      <c r="H493" s="110"/>
      <c r="J493" s="90"/>
      <c r="K493" s="90"/>
    </row>
    <row r="494" ht="15.75" customHeight="1">
      <c r="D494" s="89"/>
      <c r="F494" s="92"/>
      <c r="G494" s="92"/>
      <c r="H494" s="110"/>
      <c r="J494" s="90"/>
      <c r="K494" s="90"/>
    </row>
    <row r="495" ht="15.75" customHeight="1">
      <c r="D495" s="89"/>
      <c r="F495" s="92"/>
      <c r="G495" s="92"/>
      <c r="H495" s="110"/>
      <c r="J495" s="90"/>
      <c r="K495" s="90"/>
    </row>
    <row r="496" ht="15.75" customHeight="1">
      <c r="D496" s="89"/>
      <c r="F496" s="92"/>
      <c r="G496" s="92"/>
      <c r="H496" s="110"/>
      <c r="J496" s="90"/>
      <c r="K496" s="90"/>
    </row>
    <row r="497" ht="15.75" customHeight="1">
      <c r="D497" s="89"/>
      <c r="F497" s="92"/>
      <c r="G497" s="92"/>
      <c r="H497" s="110"/>
      <c r="J497" s="90"/>
      <c r="K497" s="90"/>
    </row>
    <row r="498" ht="15.75" customHeight="1">
      <c r="D498" s="89"/>
      <c r="F498" s="92"/>
      <c r="G498" s="92"/>
      <c r="H498" s="110"/>
      <c r="J498" s="90"/>
      <c r="K498" s="90"/>
    </row>
    <row r="499" ht="15.75" customHeight="1">
      <c r="D499" s="89"/>
      <c r="F499" s="92"/>
      <c r="G499" s="92"/>
      <c r="H499" s="110"/>
      <c r="J499" s="90"/>
      <c r="K499" s="90"/>
    </row>
    <row r="500" ht="15.75" customHeight="1">
      <c r="D500" s="89"/>
      <c r="F500" s="92"/>
      <c r="G500" s="92"/>
      <c r="H500" s="110"/>
      <c r="J500" s="90"/>
      <c r="K500" s="90"/>
    </row>
    <row r="501" ht="15.75" customHeight="1">
      <c r="D501" s="89"/>
      <c r="F501" s="92"/>
      <c r="G501" s="92"/>
      <c r="H501" s="110"/>
      <c r="J501" s="90"/>
      <c r="K501" s="90"/>
    </row>
    <row r="502" ht="15.75" customHeight="1">
      <c r="D502" s="89"/>
      <c r="F502" s="92"/>
      <c r="G502" s="92"/>
      <c r="H502" s="110"/>
      <c r="J502" s="90"/>
      <c r="K502" s="90"/>
    </row>
    <row r="503" ht="15.75" customHeight="1">
      <c r="D503" s="89"/>
      <c r="F503" s="92"/>
      <c r="G503" s="92"/>
      <c r="H503" s="110"/>
      <c r="J503" s="90"/>
      <c r="K503" s="90"/>
    </row>
    <row r="504" ht="15.75" customHeight="1">
      <c r="D504" s="89"/>
      <c r="F504" s="92"/>
      <c r="G504" s="92"/>
      <c r="H504" s="110"/>
      <c r="J504" s="90"/>
      <c r="K504" s="90"/>
    </row>
    <row r="505" ht="15.75" customHeight="1">
      <c r="D505" s="89"/>
      <c r="F505" s="92"/>
      <c r="G505" s="92"/>
      <c r="H505" s="110"/>
      <c r="J505" s="90"/>
      <c r="K505" s="90"/>
    </row>
    <row r="506" ht="15.75" customHeight="1">
      <c r="D506" s="89"/>
      <c r="F506" s="92"/>
      <c r="G506" s="92"/>
      <c r="H506" s="110"/>
      <c r="J506" s="90"/>
      <c r="K506" s="90"/>
    </row>
    <row r="507" ht="15.75" customHeight="1">
      <c r="D507" s="89"/>
      <c r="F507" s="92"/>
      <c r="G507" s="92"/>
      <c r="H507" s="110"/>
      <c r="J507" s="90"/>
      <c r="K507" s="90"/>
    </row>
    <row r="508" ht="15.75" customHeight="1">
      <c r="D508" s="89"/>
      <c r="F508" s="92"/>
      <c r="G508" s="92"/>
      <c r="H508" s="110"/>
      <c r="J508" s="90"/>
      <c r="K508" s="90"/>
    </row>
    <row r="509" ht="15.75" customHeight="1">
      <c r="D509" s="89"/>
      <c r="F509" s="92"/>
      <c r="G509" s="92"/>
      <c r="H509" s="110"/>
      <c r="J509" s="90"/>
      <c r="K509" s="90"/>
    </row>
    <row r="510" ht="15.75" customHeight="1">
      <c r="D510" s="89"/>
      <c r="F510" s="92"/>
      <c r="G510" s="92"/>
      <c r="H510" s="110"/>
      <c r="J510" s="90"/>
      <c r="K510" s="90"/>
    </row>
    <row r="511" ht="15.75" customHeight="1">
      <c r="D511" s="89"/>
      <c r="F511" s="92"/>
      <c r="G511" s="92"/>
      <c r="H511" s="110"/>
      <c r="J511" s="90"/>
      <c r="K511" s="90"/>
    </row>
    <row r="512" ht="15.75" customHeight="1">
      <c r="D512" s="89"/>
      <c r="F512" s="92"/>
      <c r="G512" s="92"/>
      <c r="H512" s="110"/>
      <c r="J512" s="90"/>
      <c r="K512" s="90"/>
    </row>
    <row r="513" ht="15.75" customHeight="1">
      <c r="D513" s="89"/>
      <c r="F513" s="92"/>
      <c r="G513" s="92"/>
      <c r="H513" s="110"/>
      <c r="J513" s="90"/>
      <c r="K513" s="90"/>
    </row>
    <row r="514" ht="15.75" customHeight="1">
      <c r="D514" s="89"/>
      <c r="F514" s="92"/>
      <c r="G514" s="92"/>
      <c r="H514" s="110"/>
      <c r="J514" s="90"/>
      <c r="K514" s="90"/>
    </row>
    <row r="515" ht="15.75" customHeight="1">
      <c r="D515" s="89"/>
      <c r="F515" s="92"/>
      <c r="G515" s="92"/>
      <c r="H515" s="110"/>
      <c r="J515" s="90"/>
      <c r="K515" s="90"/>
    </row>
    <row r="516" ht="15.75" customHeight="1">
      <c r="D516" s="89"/>
      <c r="F516" s="92"/>
      <c r="G516" s="92"/>
      <c r="H516" s="110"/>
      <c r="J516" s="90"/>
      <c r="K516" s="90"/>
    </row>
    <row r="517" ht="15.75" customHeight="1">
      <c r="D517" s="89"/>
      <c r="F517" s="92"/>
      <c r="G517" s="92"/>
      <c r="H517" s="110"/>
      <c r="J517" s="90"/>
      <c r="K517" s="90"/>
    </row>
    <row r="518" ht="15.75" customHeight="1">
      <c r="D518" s="89"/>
      <c r="F518" s="92"/>
      <c r="G518" s="92"/>
      <c r="H518" s="110"/>
      <c r="J518" s="90"/>
      <c r="K518" s="90"/>
    </row>
    <row r="519" ht="15.75" customHeight="1">
      <c r="D519" s="89"/>
      <c r="F519" s="92"/>
      <c r="G519" s="92"/>
      <c r="H519" s="110"/>
      <c r="J519" s="90"/>
      <c r="K519" s="90"/>
    </row>
    <row r="520" ht="15.75" customHeight="1">
      <c r="D520" s="89"/>
      <c r="F520" s="92"/>
      <c r="G520" s="92"/>
      <c r="H520" s="110"/>
      <c r="J520" s="90"/>
      <c r="K520" s="90"/>
    </row>
    <row r="521" ht="15.75" customHeight="1">
      <c r="D521" s="89"/>
      <c r="F521" s="92"/>
      <c r="G521" s="92"/>
      <c r="H521" s="110"/>
      <c r="J521" s="90"/>
      <c r="K521" s="90"/>
    </row>
    <row r="522" ht="15.75" customHeight="1">
      <c r="D522" s="89"/>
      <c r="F522" s="92"/>
      <c r="G522" s="92"/>
      <c r="H522" s="110"/>
      <c r="J522" s="90"/>
      <c r="K522" s="90"/>
    </row>
    <row r="523" ht="15.75" customHeight="1">
      <c r="D523" s="89"/>
      <c r="F523" s="92"/>
      <c r="G523" s="92"/>
      <c r="H523" s="110"/>
      <c r="J523" s="90"/>
      <c r="K523" s="90"/>
    </row>
    <row r="524" ht="15.75" customHeight="1">
      <c r="D524" s="89"/>
      <c r="F524" s="92"/>
      <c r="G524" s="92"/>
      <c r="H524" s="110"/>
      <c r="J524" s="90"/>
      <c r="K524" s="90"/>
    </row>
    <row r="525" ht="15.75" customHeight="1">
      <c r="D525" s="89"/>
      <c r="F525" s="92"/>
      <c r="G525" s="92"/>
      <c r="H525" s="110"/>
      <c r="J525" s="90"/>
      <c r="K525" s="90"/>
    </row>
    <row r="526" ht="15.75" customHeight="1">
      <c r="D526" s="89"/>
      <c r="F526" s="92"/>
      <c r="G526" s="92"/>
      <c r="H526" s="110"/>
      <c r="J526" s="90"/>
      <c r="K526" s="90"/>
    </row>
    <row r="527" ht="15.75" customHeight="1">
      <c r="D527" s="89"/>
      <c r="F527" s="92"/>
      <c r="G527" s="92"/>
      <c r="H527" s="110"/>
      <c r="J527" s="90"/>
      <c r="K527" s="90"/>
    </row>
    <row r="528" ht="15.75" customHeight="1">
      <c r="D528" s="89"/>
      <c r="F528" s="92"/>
      <c r="G528" s="92"/>
      <c r="H528" s="110"/>
      <c r="J528" s="90"/>
      <c r="K528" s="90"/>
    </row>
    <row r="529" ht="15.75" customHeight="1">
      <c r="D529" s="89"/>
      <c r="F529" s="92"/>
      <c r="G529" s="92"/>
      <c r="H529" s="110"/>
      <c r="J529" s="90"/>
      <c r="K529" s="90"/>
    </row>
    <row r="530" ht="15.75" customHeight="1">
      <c r="D530" s="89"/>
      <c r="F530" s="92"/>
      <c r="G530" s="92"/>
      <c r="H530" s="110"/>
      <c r="J530" s="90"/>
      <c r="K530" s="90"/>
    </row>
    <row r="531" ht="15.75" customHeight="1">
      <c r="D531" s="89"/>
      <c r="F531" s="92"/>
      <c r="G531" s="92"/>
      <c r="H531" s="110"/>
      <c r="J531" s="90"/>
      <c r="K531" s="90"/>
    </row>
    <row r="532" ht="15.75" customHeight="1">
      <c r="D532" s="89"/>
      <c r="F532" s="92"/>
      <c r="G532" s="92"/>
      <c r="H532" s="110"/>
      <c r="J532" s="90"/>
      <c r="K532" s="90"/>
    </row>
    <row r="533" ht="15.75" customHeight="1">
      <c r="D533" s="89"/>
      <c r="F533" s="92"/>
      <c r="G533" s="92"/>
      <c r="H533" s="110"/>
      <c r="J533" s="90"/>
      <c r="K533" s="90"/>
    </row>
    <row r="534" ht="15.75" customHeight="1">
      <c r="D534" s="89"/>
      <c r="F534" s="92"/>
      <c r="G534" s="92"/>
      <c r="H534" s="110"/>
      <c r="J534" s="90"/>
      <c r="K534" s="90"/>
    </row>
    <row r="535" ht="15.75" customHeight="1">
      <c r="D535" s="89"/>
      <c r="F535" s="92"/>
      <c r="G535" s="92"/>
      <c r="H535" s="110"/>
      <c r="J535" s="90"/>
      <c r="K535" s="90"/>
    </row>
    <row r="536" ht="15.75" customHeight="1">
      <c r="D536" s="89"/>
      <c r="F536" s="92"/>
      <c r="G536" s="92"/>
      <c r="H536" s="110"/>
      <c r="J536" s="90"/>
      <c r="K536" s="90"/>
    </row>
    <row r="537" ht="15.75" customHeight="1">
      <c r="D537" s="89"/>
      <c r="F537" s="92"/>
      <c r="G537" s="92"/>
      <c r="H537" s="110"/>
      <c r="J537" s="90"/>
      <c r="K537" s="90"/>
    </row>
    <row r="538" ht="15.75" customHeight="1">
      <c r="D538" s="89"/>
      <c r="F538" s="92"/>
      <c r="G538" s="92"/>
      <c r="H538" s="110"/>
      <c r="J538" s="90"/>
      <c r="K538" s="90"/>
    </row>
    <row r="539" ht="15.75" customHeight="1">
      <c r="D539" s="89"/>
      <c r="F539" s="92"/>
      <c r="G539" s="92"/>
      <c r="H539" s="110"/>
      <c r="J539" s="90"/>
      <c r="K539" s="90"/>
    </row>
    <row r="540" ht="15.75" customHeight="1">
      <c r="D540" s="89"/>
      <c r="F540" s="92"/>
      <c r="G540" s="92"/>
      <c r="H540" s="110"/>
      <c r="J540" s="90"/>
      <c r="K540" s="90"/>
    </row>
    <row r="541" ht="15.75" customHeight="1">
      <c r="D541" s="89"/>
      <c r="F541" s="92"/>
      <c r="G541" s="92"/>
      <c r="H541" s="110"/>
      <c r="J541" s="90"/>
      <c r="K541" s="90"/>
    </row>
    <row r="542" ht="15.75" customHeight="1">
      <c r="D542" s="89"/>
      <c r="F542" s="92"/>
      <c r="G542" s="92"/>
      <c r="H542" s="110"/>
      <c r="J542" s="90"/>
      <c r="K542" s="90"/>
    </row>
    <row r="543" ht="15.75" customHeight="1">
      <c r="D543" s="89"/>
      <c r="F543" s="92"/>
      <c r="G543" s="92"/>
      <c r="H543" s="110"/>
      <c r="J543" s="90"/>
      <c r="K543" s="90"/>
    </row>
    <row r="544" ht="15.75" customHeight="1">
      <c r="D544" s="89"/>
      <c r="F544" s="92"/>
      <c r="G544" s="92"/>
      <c r="H544" s="110"/>
      <c r="J544" s="90"/>
      <c r="K544" s="90"/>
    </row>
    <row r="545" ht="15.75" customHeight="1">
      <c r="D545" s="89"/>
      <c r="F545" s="92"/>
      <c r="G545" s="92"/>
      <c r="H545" s="110"/>
      <c r="J545" s="90"/>
      <c r="K545" s="90"/>
    </row>
    <row r="546" ht="15.75" customHeight="1">
      <c r="D546" s="89"/>
      <c r="F546" s="92"/>
      <c r="G546" s="92"/>
      <c r="H546" s="110"/>
      <c r="J546" s="90"/>
      <c r="K546" s="90"/>
    </row>
    <row r="547" ht="15.75" customHeight="1">
      <c r="D547" s="89"/>
      <c r="F547" s="92"/>
      <c r="G547" s="92"/>
      <c r="H547" s="110"/>
      <c r="J547" s="90"/>
      <c r="K547" s="90"/>
    </row>
    <row r="548" ht="15.75" customHeight="1">
      <c r="D548" s="89"/>
      <c r="F548" s="92"/>
      <c r="G548" s="92"/>
      <c r="H548" s="110"/>
      <c r="J548" s="90"/>
      <c r="K548" s="90"/>
    </row>
    <row r="549" ht="15.75" customHeight="1">
      <c r="D549" s="89"/>
      <c r="F549" s="92"/>
      <c r="G549" s="92"/>
      <c r="H549" s="110"/>
      <c r="J549" s="90"/>
      <c r="K549" s="90"/>
    </row>
    <row r="550" ht="15.75" customHeight="1">
      <c r="D550" s="89"/>
      <c r="F550" s="92"/>
      <c r="G550" s="92"/>
      <c r="H550" s="110"/>
      <c r="J550" s="90"/>
      <c r="K550" s="90"/>
    </row>
    <row r="551" ht="15.75" customHeight="1">
      <c r="D551" s="89"/>
      <c r="F551" s="92"/>
      <c r="G551" s="92"/>
      <c r="H551" s="110"/>
      <c r="J551" s="90"/>
      <c r="K551" s="90"/>
    </row>
    <row r="552" ht="15.75" customHeight="1">
      <c r="D552" s="89"/>
      <c r="F552" s="92"/>
      <c r="G552" s="92"/>
      <c r="H552" s="110"/>
      <c r="J552" s="90"/>
      <c r="K552" s="90"/>
    </row>
    <row r="553" ht="15.75" customHeight="1">
      <c r="D553" s="89"/>
      <c r="F553" s="92"/>
      <c r="G553" s="92"/>
      <c r="H553" s="110"/>
      <c r="J553" s="90"/>
      <c r="K553" s="90"/>
    </row>
    <row r="554" ht="15.75" customHeight="1">
      <c r="D554" s="89"/>
      <c r="F554" s="92"/>
      <c r="G554" s="92"/>
      <c r="H554" s="110"/>
      <c r="J554" s="90"/>
      <c r="K554" s="90"/>
    </row>
    <row r="555" ht="15.75" customHeight="1">
      <c r="D555" s="89"/>
      <c r="F555" s="92"/>
      <c r="G555" s="92"/>
      <c r="H555" s="110"/>
      <c r="J555" s="90"/>
      <c r="K555" s="90"/>
    </row>
    <row r="556" ht="15.75" customHeight="1">
      <c r="D556" s="89"/>
      <c r="F556" s="92"/>
      <c r="G556" s="92"/>
      <c r="H556" s="110"/>
      <c r="J556" s="90"/>
      <c r="K556" s="90"/>
    </row>
    <row r="557" ht="15.75" customHeight="1">
      <c r="D557" s="89"/>
      <c r="F557" s="92"/>
      <c r="G557" s="92"/>
      <c r="H557" s="110"/>
      <c r="J557" s="90"/>
      <c r="K557" s="90"/>
    </row>
    <row r="558" ht="15.75" customHeight="1">
      <c r="D558" s="89"/>
      <c r="F558" s="92"/>
      <c r="G558" s="92"/>
      <c r="H558" s="110"/>
      <c r="J558" s="90"/>
      <c r="K558" s="90"/>
    </row>
    <row r="559" ht="15.75" customHeight="1">
      <c r="D559" s="89"/>
      <c r="F559" s="92"/>
      <c r="G559" s="92"/>
      <c r="H559" s="110"/>
      <c r="J559" s="90"/>
      <c r="K559" s="90"/>
    </row>
    <row r="560" ht="15.75" customHeight="1">
      <c r="D560" s="89"/>
      <c r="F560" s="92"/>
      <c r="G560" s="92"/>
      <c r="H560" s="110"/>
      <c r="J560" s="90"/>
      <c r="K560" s="90"/>
    </row>
    <row r="561" ht="15.75" customHeight="1">
      <c r="D561" s="89"/>
      <c r="F561" s="92"/>
      <c r="G561" s="92"/>
      <c r="H561" s="110"/>
      <c r="J561" s="90"/>
      <c r="K561" s="90"/>
    </row>
    <row r="562" ht="15.75" customHeight="1">
      <c r="D562" s="89"/>
      <c r="F562" s="92"/>
      <c r="G562" s="92"/>
      <c r="H562" s="110"/>
      <c r="J562" s="90"/>
      <c r="K562" s="90"/>
    </row>
    <row r="563" ht="15.75" customHeight="1">
      <c r="D563" s="89"/>
      <c r="F563" s="92"/>
      <c r="G563" s="92"/>
      <c r="H563" s="110"/>
      <c r="J563" s="90"/>
      <c r="K563" s="90"/>
    </row>
    <row r="564" ht="15.75" customHeight="1">
      <c r="D564" s="89"/>
      <c r="F564" s="92"/>
      <c r="G564" s="92"/>
      <c r="H564" s="110"/>
      <c r="J564" s="90"/>
      <c r="K564" s="90"/>
    </row>
    <row r="565" ht="15.75" customHeight="1">
      <c r="D565" s="89"/>
      <c r="F565" s="92"/>
      <c r="G565" s="92"/>
      <c r="H565" s="110"/>
      <c r="J565" s="90"/>
      <c r="K565" s="90"/>
    </row>
    <row r="566" ht="15.75" customHeight="1">
      <c r="D566" s="89"/>
      <c r="F566" s="92"/>
      <c r="G566" s="92"/>
      <c r="H566" s="110"/>
      <c r="J566" s="90"/>
      <c r="K566" s="90"/>
    </row>
    <row r="567" ht="15.75" customHeight="1">
      <c r="D567" s="89"/>
      <c r="F567" s="92"/>
      <c r="G567" s="92"/>
      <c r="H567" s="110"/>
      <c r="J567" s="90"/>
      <c r="K567" s="90"/>
    </row>
    <row r="568" ht="15.75" customHeight="1">
      <c r="D568" s="89"/>
      <c r="F568" s="92"/>
      <c r="G568" s="92"/>
      <c r="H568" s="110"/>
      <c r="J568" s="90"/>
      <c r="K568" s="90"/>
    </row>
    <row r="569" ht="15.75" customHeight="1">
      <c r="D569" s="89"/>
      <c r="F569" s="92"/>
      <c r="G569" s="92"/>
      <c r="H569" s="110"/>
      <c r="J569" s="90"/>
      <c r="K569" s="90"/>
    </row>
    <row r="570" ht="15.75" customHeight="1">
      <c r="D570" s="89"/>
      <c r="F570" s="92"/>
      <c r="G570" s="92"/>
      <c r="H570" s="110"/>
      <c r="J570" s="90"/>
      <c r="K570" s="90"/>
    </row>
    <row r="571" ht="15.75" customHeight="1">
      <c r="D571" s="89"/>
      <c r="F571" s="92"/>
      <c r="G571" s="92"/>
      <c r="H571" s="110"/>
      <c r="J571" s="90"/>
      <c r="K571" s="90"/>
    </row>
    <row r="572" ht="15.75" customHeight="1">
      <c r="D572" s="89"/>
      <c r="F572" s="92"/>
      <c r="G572" s="92"/>
      <c r="H572" s="110"/>
      <c r="J572" s="90"/>
      <c r="K572" s="90"/>
    </row>
    <row r="573" ht="15.75" customHeight="1">
      <c r="D573" s="89"/>
      <c r="F573" s="92"/>
      <c r="G573" s="92"/>
      <c r="H573" s="110"/>
      <c r="J573" s="90"/>
      <c r="K573" s="90"/>
    </row>
    <row r="574" ht="15.75" customHeight="1">
      <c r="D574" s="89"/>
      <c r="F574" s="92"/>
      <c r="G574" s="92"/>
      <c r="H574" s="110"/>
      <c r="J574" s="90"/>
      <c r="K574" s="90"/>
    </row>
    <row r="575" ht="15.75" customHeight="1">
      <c r="D575" s="89"/>
      <c r="F575" s="92"/>
      <c r="G575" s="92"/>
      <c r="H575" s="110"/>
      <c r="J575" s="90"/>
      <c r="K575" s="90"/>
    </row>
    <row r="576" ht="15.75" customHeight="1">
      <c r="D576" s="89"/>
      <c r="F576" s="92"/>
      <c r="G576" s="92"/>
      <c r="H576" s="110"/>
      <c r="J576" s="90"/>
      <c r="K576" s="90"/>
    </row>
    <row r="577" ht="15.75" customHeight="1">
      <c r="D577" s="89"/>
      <c r="F577" s="92"/>
      <c r="G577" s="92"/>
      <c r="H577" s="110"/>
      <c r="J577" s="90"/>
      <c r="K577" s="90"/>
    </row>
    <row r="578" ht="15.75" customHeight="1">
      <c r="D578" s="89"/>
      <c r="F578" s="92"/>
      <c r="G578" s="92"/>
      <c r="H578" s="110"/>
      <c r="J578" s="90"/>
      <c r="K578" s="90"/>
    </row>
    <row r="579" ht="15.75" customHeight="1">
      <c r="D579" s="89"/>
      <c r="F579" s="92"/>
      <c r="G579" s="92"/>
      <c r="H579" s="110"/>
      <c r="J579" s="90"/>
      <c r="K579" s="90"/>
    </row>
    <row r="580" ht="15.75" customHeight="1">
      <c r="D580" s="89"/>
      <c r="F580" s="92"/>
      <c r="G580" s="92"/>
      <c r="H580" s="110"/>
      <c r="J580" s="90"/>
      <c r="K580" s="90"/>
    </row>
    <row r="581" ht="15.75" customHeight="1">
      <c r="D581" s="89"/>
      <c r="F581" s="92"/>
      <c r="G581" s="92"/>
      <c r="H581" s="110"/>
      <c r="J581" s="90"/>
      <c r="K581" s="90"/>
    </row>
    <row r="582" ht="15.75" customHeight="1">
      <c r="D582" s="89"/>
      <c r="F582" s="92"/>
      <c r="G582" s="92"/>
      <c r="H582" s="110"/>
      <c r="J582" s="90"/>
      <c r="K582" s="90"/>
    </row>
    <row r="583" ht="15.75" customHeight="1">
      <c r="D583" s="89"/>
      <c r="F583" s="92"/>
      <c r="G583" s="92"/>
      <c r="H583" s="110"/>
      <c r="J583" s="90"/>
      <c r="K583" s="90"/>
    </row>
    <row r="584" ht="15.75" customHeight="1">
      <c r="D584" s="89"/>
      <c r="F584" s="92"/>
      <c r="G584" s="92"/>
      <c r="H584" s="110"/>
      <c r="J584" s="90"/>
      <c r="K584" s="90"/>
    </row>
    <row r="585" ht="15.75" customHeight="1">
      <c r="D585" s="89"/>
      <c r="F585" s="92"/>
      <c r="G585" s="92"/>
      <c r="H585" s="110"/>
      <c r="J585" s="90"/>
      <c r="K585" s="90"/>
    </row>
    <row r="586" ht="15.75" customHeight="1">
      <c r="D586" s="89"/>
      <c r="F586" s="92"/>
      <c r="G586" s="92"/>
      <c r="H586" s="110"/>
      <c r="J586" s="90"/>
      <c r="K586" s="90"/>
    </row>
    <row r="587" ht="15.75" customHeight="1">
      <c r="D587" s="89"/>
      <c r="F587" s="92"/>
      <c r="G587" s="92"/>
      <c r="H587" s="110"/>
      <c r="J587" s="90"/>
      <c r="K587" s="90"/>
    </row>
    <row r="588" ht="15.75" customHeight="1">
      <c r="D588" s="89"/>
      <c r="F588" s="92"/>
      <c r="G588" s="92"/>
      <c r="H588" s="110"/>
      <c r="J588" s="90"/>
      <c r="K588" s="90"/>
    </row>
    <row r="589" ht="15.75" customHeight="1">
      <c r="D589" s="89"/>
      <c r="F589" s="92"/>
      <c r="G589" s="92"/>
      <c r="H589" s="110"/>
      <c r="J589" s="90"/>
      <c r="K589" s="90"/>
    </row>
    <row r="590" ht="15.75" customHeight="1">
      <c r="D590" s="89"/>
      <c r="F590" s="92"/>
      <c r="G590" s="92"/>
      <c r="H590" s="110"/>
      <c r="J590" s="90"/>
      <c r="K590" s="90"/>
    </row>
    <row r="591" ht="15.75" customHeight="1">
      <c r="D591" s="89"/>
      <c r="F591" s="92"/>
      <c r="G591" s="92"/>
      <c r="H591" s="110"/>
      <c r="J591" s="90"/>
      <c r="K591" s="90"/>
    </row>
    <row r="592" ht="15.75" customHeight="1">
      <c r="D592" s="89"/>
      <c r="F592" s="92"/>
      <c r="G592" s="92"/>
      <c r="H592" s="110"/>
      <c r="J592" s="90"/>
      <c r="K592" s="90"/>
    </row>
    <row r="593" ht="15.75" customHeight="1">
      <c r="D593" s="89"/>
      <c r="F593" s="92"/>
      <c r="G593" s="92"/>
      <c r="H593" s="110"/>
      <c r="J593" s="90"/>
      <c r="K593" s="90"/>
    </row>
    <row r="594" ht="15.75" customHeight="1">
      <c r="D594" s="89"/>
      <c r="F594" s="92"/>
      <c r="G594" s="92"/>
      <c r="H594" s="110"/>
      <c r="J594" s="90"/>
      <c r="K594" s="90"/>
    </row>
    <row r="595" ht="15.75" customHeight="1">
      <c r="D595" s="89"/>
      <c r="F595" s="92"/>
      <c r="G595" s="92"/>
      <c r="H595" s="110"/>
      <c r="J595" s="90"/>
      <c r="K595" s="90"/>
    </row>
    <row r="596" ht="15.75" customHeight="1">
      <c r="D596" s="89"/>
      <c r="F596" s="92"/>
      <c r="G596" s="92"/>
      <c r="H596" s="110"/>
      <c r="J596" s="90"/>
      <c r="K596" s="90"/>
    </row>
    <row r="597" ht="15.75" customHeight="1">
      <c r="D597" s="89"/>
      <c r="F597" s="92"/>
      <c r="G597" s="92"/>
      <c r="H597" s="110"/>
      <c r="J597" s="90"/>
      <c r="K597" s="90"/>
    </row>
    <row r="598" ht="15.75" customHeight="1">
      <c r="D598" s="89"/>
      <c r="F598" s="92"/>
      <c r="G598" s="92"/>
      <c r="H598" s="110"/>
      <c r="J598" s="90"/>
      <c r="K598" s="90"/>
    </row>
    <row r="599" ht="15.75" customHeight="1">
      <c r="D599" s="89"/>
      <c r="F599" s="92"/>
      <c r="G599" s="92"/>
      <c r="H599" s="110"/>
      <c r="J599" s="90"/>
      <c r="K599" s="90"/>
    </row>
    <row r="600" ht="15.75" customHeight="1">
      <c r="D600" s="89"/>
      <c r="F600" s="92"/>
      <c r="G600" s="92"/>
      <c r="H600" s="110"/>
      <c r="J600" s="90"/>
      <c r="K600" s="90"/>
    </row>
    <row r="601" ht="15.75" customHeight="1">
      <c r="D601" s="89"/>
      <c r="F601" s="92"/>
      <c r="G601" s="92"/>
      <c r="H601" s="110"/>
      <c r="J601" s="90"/>
      <c r="K601" s="90"/>
    </row>
    <row r="602" ht="15.75" customHeight="1">
      <c r="D602" s="89"/>
      <c r="F602" s="92"/>
      <c r="G602" s="92"/>
      <c r="H602" s="110"/>
      <c r="J602" s="90"/>
      <c r="K602" s="90"/>
    </row>
    <row r="603" ht="15.75" customHeight="1">
      <c r="D603" s="89"/>
      <c r="F603" s="92"/>
      <c r="G603" s="92"/>
      <c r="H603" s="110"/>
      <c r="J603" s="90"/>
      <c r="K603" s="90"/>
    </row>
    <row r="604" ht="15.75" customHeight="1">
      <c r="D604" s="89"/>
      <c r="F604" s="92"/>
      <c r="G604" s="92"/>
      <c r="H604" s="110"/>
      <c r="J604" s="90"/>
      <c r="K604" s="90"/>
    </row>
    <row r="605" ht="15.75" customHeight="1">
      <c r="D605" s="89"/>
      <c r="F605" s="92"/>
      <c r="G605" s="92"/>
      <c r="H605" s="110"/>
      <c r="J605" s="90"/>
      <c r="K605" s="90"/>
    </row>
    <row r="606" ht="15.75" customHeight="1">
      <c r="D606" s="89"/>
      <c r="F606" s="92"/>
      <c r="G606" s="92"/>
      <c r="H606" s="110"/>
      <c r="J606" s="90"/>
      <c r="K606" s="90"/>
    </row>
    <row r="607" ht="15.75" customHeight="1">
      <c r="D607" s="89"/>
      <c r="F607" s="92"/>
      <c r="G607" s="92"/>
      <c r="H607" s="110"/>
      <c r="J607" s="90"/>
      <c r="K607" s="90"/>
    </row>
    <row r="608" ht="15.75" customHeight="1">
      <c r="D608" s="89"/>
      <c r="F608" s="92"/>
      <c r="G608" s="92"/>
      <c r="H608" s="110"/>
      <c r="J608" s="90"/>
      <c r="K608" s="90"/>
    </row>
    <row r="609" ht="15.75" customHeight="1">
      <c r="D609" s="89"/>
      <c r="F609" s="92"/>
      <c r="G609" s="92"/>
      <c r="H609" s="110"/>
      <c r="J609" s="90"/>
      <c r="K609" s="90"/>
    </row>
    <row r="610" ht="15.75" customHeight="1">
      <c r="D610" s="89"/>
      <c r="F610" s="92"/>
      <c r="G610" s="92"/>
      <c r="H610" s="110"/>
      <c r="J610" s="90"/>
      <c r="K610" s="90"/>
    </row>
    <row r="611" ht="15.75" customHeight="1">
      <c r="D611" s="89"/>
      <c r="F611" s="92"/>
      <c r="G611" s="92"/>
      <c r="H611" s="110"/>
      <c r="J611" s="90"/>
      <c r="K611" s="90"/>
    </row>
    <row r="612" ht="15.75" customHeight="1">
      <c r="D612" s="89"/>
      <c r="F612" s="92"/>
      <c r="G612" s="92"/>
      <c r="H612" s="110"/>
      <c r="J612" s="90"/>
      <c r="K612" s="90"/>
    </row>
    <row r="613" ht="15.75" customHeight="1">
      <c r="D613" s="89"/>
      <c r="F613" s="92"/>
      <c r="G613" s="92"/>
      <c r="H613" s="110"/>
      <c r="J613" s="90"/>
      <c r="K613" s="90"/>
    </row>
    <row r="614" ht="15.75" customHeight="1">
      <c r="D614" s="89"/>
      <c r="F614" s="92"/>
      <c r="G614" s="92"/>
      <c r="H614" s="110"/>
      <c r="J614" s="90"/>
      <c r="K614" s="90"/>
    </row>
    <row r="615" ht="15.75" customHeight="1">
      <c r="D615" s="89"/>
      <c r="F615" s="92"/>
      <c r="G615" s="92"/>
      <c r="H615" s="110"/>
      <c r="J615" s="90"/>
      <c r="K615" s="90"/>
    </row>
    <row r="616" ht="15.75" customHeight="1">
      <c r="D616" s="89"/>
      <c r="F616" s="92"/>
      <c r="G616" s="92"/>
      <c r="H616" s="110"/>
      <c r="J616" s="90"/>
      <c r="K616" s="90"/>
    </row>
    <row r="617" ht="15.75" customHeight="1">
      <c r="D617" s="89"/>
      <c r="F617" s="92"/>
      <c r="G617" s="92"/>
      <c r="H617" s="110"/>
      <c r="J617" s="90"/>
      <c r="K617" s="90"/>
    </row>
    <row r="618" ht="15.75" customHeight="1">
      <c r="D618" s="89"/>
      <c r="F618" s="92"/>
      <c r="G618" s="92"/>
      <c r="H618" s="110"/>
      <c r="J618" s="90"/>
      <c r="K618" s="90"/>
    </row>
    <row r="619" ht="15.75" customHeight="1">
      <c r="D619" s="89"/>
      <c r="F619" s="92"/>
      <c r="G619" s="92"/>
      <c r="H619" s="110"/>
      <c r="J619" s="90"/>
      <c r="K619" s="90"/>
    </row>
    <row r="620" ht="15.75" customHeight="1">
      <c r="D620" s="89"/>
      <c r="F620" s="92"/>
      <c r="G620" s="92"/>
      <c r="H620" s="110"/>
      <c r="J620" s="90"/>
      <c r="K620" s="90"/>
    </row>
    <row r="621" ht="15.75" customHeight="1">
      <c r="D621" s="89"/>
      <c r="F621" s="92"/>
      <c r="G621" s="92"/>
      <c r="H621" s="110"/>
      <c r="J621" s="90"/>
      <c r="K621" s="90"/>
    </row>
    <row r="622" ht="15.75" customHeight="1">
      <c r="D622" s="89"/>
      <c r="F622" s="92"/>
      <c r="G622" s="92"/>
      <c r="H622" s="110"/>
      <c r="J622" s="90"/>
      <c r="K622" s="90"/>
    </row>
    <row r="623" ht="15.75" customHeight="1">
      <c r="D623" s="89"/>
      <c r="F623" s="92"/>
      <c r="G623" s="92"/>
      <c r="H623" s="110"/>
      <c r="J623" s="90"/>
      <c r="K623" s="90"/>
    </row>
    <row r="624" ht="15.75" customHeight="1">
      <c r="D624" s="89"/>
      <c r="F624" s="92"/>
      <c r="G624" s="92"/>
      <c r="H624" s="110"/>
      <c r="J624" s="90"/>
      <c r="K624" s="90"/>
    </row>
    <row r="625" ht="15.75" customHeight="1">
      <c r="D625" s="89"/>
      <c r="F625" s="92"/>
      <c r="G625" s="92"/>
      <c r="H625" s="110"/>
      <c r="J625" s="90"/>
      <c r="K625" s="90"/>
    </row>
    <row r="626" ht="15.75" customHeight="1">
      <c r="D626" s="89"/>
      <c r="F626" s="92"/>
      <c r="G626" s="92"/>
      <c r="H626" s="110"/>
      <c r="J626" s="90"/>
      <c r="K626" s="90"/>
    </row>
    <row r="627" ht="15.75" customHeight="1">
      <c r="D627" s="89"/>
      <c r="F627" s="92"/>
      <c r="G627" s="92"/>
      <c r="H627" s="110"/>
      <c r="J627" s="90"/>
      <c r="K627" s="90"/>
    </row>
    <row r="628" ht="15.75" customHeight="1">
      <c r="D628" s="89"/>
      <c r="F628" s="92"/>
      <c r="G628" s="92"/>
      <c r="H628" s="110"/>
      <c r="J628" s="90"/>
      <c r="K628" s="90"/>
    </row>
    <row r="629" ht="15.75" customHeight="1">
      <c r="D629" s="89"/>
      <c r="F629" s="92"/>
      <c r="G629" s="92"/>
      <c r="H629" s="110"/>
      <c r="J629" s="90"/>
      <c r="K629" s="90"/>
    </row>
    <row r="630" ht="15.75" customHeight="1">
      <c r="D630" s="89"/>
      <c r="F630" s="92"/>
      <c r="G630" s="92"/>
      <c r="H630" s="110"/>
      <c r="J630" s="90"/>
      <c r="K630" s="90"/>
    </row>
    <row r="631" ht="15.75" customHeight="1">
      <c r="D631" s="89"/>
      <c r="F631" s="92"/>
      <c r="G631" s="92"/>
      <c r="H631" s="110"/>
      <c r="J631" s="90"/>
      <c r="K631" s="90"/>
    </row>
    <row r="632" ht="15.75" customHeight="1">
      <c r="D632" s="89"/>
      <c r="F632" s="92"/>
      <c r="G632" s="92"/>
      <c r="H632" s="110"/>
      <c r="J632" s="90"/>
      <c r="K632" s="90"/>
    </row>
    <row r="633" ht="15.75" customHeight="1">
      <c r="D633" s="89"/>
      <c r="F633" s="92"/>
      <c r="G633" s="92"/>
      <c r="H633" s="110"/>
      <c r="J633" s="90"/>
      <c r="K633" s="90"/>
    </row>
    <row r="634" ht="15.75" customHeight="1">
      <c r="D634" s="89"/>
      <c r="F634" s="92"/>
      <c r="G634" s="92"/>
      <c r="H634" s="110"/>
      <c r="J634" s="90"/>
      <c r="K634" s="90"/>
    </row>
    <row r="635" ht="15.75" customHeight="1">
      <c r="D635" s="89"/>
      <c r="F635" s="92"/>
      <c r="G635" s="92"/>
      <c r="H635" s="110"/>
      <c r="J635" s="90"/>
      <c r="K635" s="90"/>
    </row>
    <row r="636" ht="15.75" customHeight="1">
      <c r="D636" s="89"/>
      <c r="F636" s="92"/>
      <c r="G636" s="92"/>
      <c r="H636" s="110"/>
      <c r="J636" s="90"/>
      <c r="K636" s="90"/>
    </row>
    <row r="637" ht="15.75" customHeight="1">
      <c r="D637" s="89"/>
      <c r="F637" s="92"/>
      <c r="G637" s="92"/>
      <c r="H637" s="110"/>
      <c r="J637" s="90"/>
      <c r="K637" s="90"/>
    </row>
    <row r="638" ht="15.75" customHeight="1">
      <c r="D638" s="89"/>
      <c r="F638" s="92"/>
      <c r="G638" s="92"/>
      <c r="H638" s="110"/>
      <c r="J638" s="90"/>
      <c r="K638" s="90"/>
    </row>
    <row r="639" ht="15.75" customHeight="1">
      <c r="D639" s="89"/>
      <c r="F639" s="92"/>
      <c r="G639" s="92"/>
      <c r="H639" s="110"/>
      <c r="J639" s="90"/>
      <c r="K639" s="90"/>
    </row>
    <row r="640" ht="15.75" customHeight="1">
      <c r="D640" s="89"/>
      <c r="F640" s="92"/>
      <c r="G640" s="92"/>
      <c r="H640" s="110"/>
      <c r="J640" s="90"/>
      <c r="K640" s="90"/>
    </row>
    <row r="641" ht="15.75" customHeight="1">
      <c r="D641" s="89"/>
      <c r="F641" s="92"/>
      <c r="G641" s="92"/>
      <c r="H641" s="110"/>
      <c r="J641" s="90"/>
      <c r="K641" s="90"/>
    </row>
    <row r="642" ht="15.75" customHeight="1">
      <c r="D642" s="89"/>
      <c r="F642" s="92"/>
      <c r="G642" s="92"/>
      <c r="H642" s="110"/>
      <c r="J642" s="90"/>
      <c r="K642" s="90"/>
    </row>
    <row r="643" ht="15.75" customHeight="1">
      <c r="D643" s="89"/>
      <c r="F643" s="92"/>
      <c r="G643" s="92"/>
      <c r="H643" s="110"/>
      <c r="J643" s="90"/>
      <c r="K643" s="90"/>
    </row>
    <row r="644" ht="15.75" customHeight="1">
      <c r="D644" s="89"/>
      <c r="F644" s="92"/>
      <c r="G644" s="92"/>
      <c r="H644" s="110"/>
      <c r="J644" s="90"/>
      <c r="K644" s="90"/>
    </row>
    <row r="645" ht="15.75" customHeight="1">
      <c r="D645" s="89"/>
      <c r="F645" s="92"/>
      <c r="G645" s="92"/>
      <c r="H645" s="110"/>
      <c r="J645" s="90"/>
      <c r="K645" s="90"/>
    </row>
    <row r="646" ht="15.75" customHeight="1">
      <c r="D646" s="89"/>
      <c r="F646" s="92"/>
      <c r="G646" s="92"/>
      <c r="H646" s="110"/>
      <c r="J646" s="90"/>
      <c r="K646" s="90"/>
    </row>
    <row r="647" ht="15.75" customHeight="1">
      <c r="D647" s="89"/>
      <c r="F647" s="92"/>
      <c r="G647" s="92"/>
      <c r="H647" s="110"/>
      <c r="J647" s="90"/>
      <c r="K647" s="90"/>
    </row>
    <row r="648" ht="15.75" customHeight="1">
      <c r="D648" s="89"/>
      <c r="F648" s="92"/>
      <c r="G648" s="92"/>
      <c r="H648" s="110"/>
      <c r="J648" s="90"/>
      <c r="K648" s="90"/>
    </row>
    <row r="649" ht="15.75" customHeight="1">
      <c r="D649" s="89"/>
      <c r="F649" s="92"/>
      <c r="G649" s="92"/>
      <c r="H649" s="110"/>
      <c r="J649" s="90"/>
      <c r="K649" s="90"/>
    </row>
    <row r="650" ht="15.75" customHeight="1">
      <c r="D650" s="89"/>
      <c r="F650" s="92"/>
      <c r="G650" s="92"/>
      <c r="H650" s="110"/>
      <c r="J650" s="90"/>
      <c r="K650" s="90"/>
    </row>
    <row r="651" ht="15.75" customHeight="1">
      <c r="D651" s="89"/>
      <c r="F651" s="92"/>
      <c r="G651" s="92"/>
      <c r="H651" s="110"/>
      <c r="J651" s="90"/>
      <c r="K651" s="90"/>
    </row>
    <row r="652" ht="15.75" customHeight="1">
      <c r="D652" s="89"/>
      <c r="F652" s="92"/>
      <c r="G652" s="92"/>
      <c r="H652" s="110"/>
      <c r="J652" s="90"/>
      <c r="K652" s="90"/>
    </row>
    <row r="653" ht="15.75" customHeight="1">
      <c r="D653" s="89"/>
      <c r="F653" s="92"/>
      <c r="G653" s="92"/>
      <c r="H653" s="110"/>
      <c r="J653" s="90"/>
      <c r="K653" s="90"/>
    </row>
    <row r="654" ht="15.75" customHeight="1">
      <c r="D654" s="89"/>
      <c r="F654" s="92"/>
      <c r="G654" s="92"/>
      <c r="H654" s="110"/>
      <c r="J654" s="90"/>
      <c r="K654" s="90"/>
    </row>
    <row r="655" ht="15.75" customHeight="1">
      <c r="D655" s="89"/>
      <c r="F655" s="92"/>
      <c r="G655" s="92"/>
      <c r="H655" s="110"/>
      <c r="J655" s="90"/>
      <c r="K655" s="90"/>
    </row>
    <row r="656" ht="15.75" customHeight="1">
      <c r="D656" s="89"/>
      <c r="F656" s="92"/>
      <c r="G656" s="92"/>
      <c r="H656" s="110"/>
      <c r="J656" s="90"/>
      <c r="K656" s="90"/>
    </row>
    <row r="657" ht="15.75" customHeight="1">
      <c r="D657" s="89"/>
      <c r="F657" s="92"/>
      <c r="G657" s="92"/>
      <c r="H657" s="110"/>
      <c r="J657" s="90"/>
      <c r="K657" s="90"/>
    </row>
    <row r="658" ht="15.75" customHeight="1">
      <c r="D658" s="89"/>
      <c r="F658" s="92"/>
      <c r="G658" s="92"/>
      <c r="H658" s="110"/>
      <c r="J658" s="90"/>
      <c r="K658" s="90"/>
    </row>
    <row r="659" ht="15.75" customHeight="1">
      <c r="D659" s="89"/>
      <c r="F659" s="92"/>
      <c r="G659" s="92"/>
      <c r="H659" s="110"/>
      <c r="J659" s="90"/>
      <c r="K659" s="90"/>
    </row>
    <row r="660" ht="15.75" customHeight="1">
      <c r="D660" s="89"/>
      <c r="F660" s="92"/>
      <c r="G660" s="92"/>
      <c r="H660" s="110"/>
      <c r="J660" s="90"/>
      <c r="K660" s="90"/>
    </row>
    <row r="661" ht="15.75" customHeight="1">
      <c r="D661" s="89"/>
      <c r="F661" s="92"/>
      <c r="G661" s="92"/>
      <c r="H661" s="110"/>
      <c r="J661" s="90"/>
      <c r="K661" s="90"/>
    </row>
    <row r="662" ht="15.75" customHeight="1">
      <c r="D662" s="89"/>
      <c r="F662" s="92"/>
      <c r="G662" s="92"/>
      <c r="H662" s="110"/>
      <c r="J662" s="90"/>
      <c r="K662" s="90"/>
    </row>
    <row r="663" ht="15.75" customHeight="1">
      <c r="D663" s="89"/>
      <c r="F663" s="92"/>
      <c r="G663" s="92"/>
      <c r="H663" s="110"/>
      <c r="J663" s="90"/>
      <c r="K663" s="90"/>
    </row>
    <row r="664" ht="15.75" customHeight="1">
      <c r="D664" s="89"/>
      <c r="F664" s="92"/>
      <c r="G664" s="92"/>
      <c r="H664" s="110"/>
      <c r="J664" s="90"/>
      <c r="K664" s="90"/>
    </row>
    <row r="665" ht="15.75" customHeight="1">
      <c r="D665" s="89"/>
      <c r="F665" s="92"/>
      <c r="G665" s="92"/>
      <c r="H665" s="110"/>
      <c r="J665" s="90"/>
      <c r="K665" s="90"/>
    </row>
    <row r="666" ht="15.75" customHeight="1">
      <c r="D666" s="89"/>
      <c r="F666" s="92"/>
      <c r="G666" s="92"/>
      <c r="H666" s="110"/>
      <c r="J666" s="90"/>
      <c r="K666" s="90"/>
    </row>
    <row r="667" ht="15.75" customHeight="1">
      <c r="D667" s="89"/>
      <c r="F667" s="92"/>
      <c r="G667" s="92"/>
      <c r="H667" s="110"/>
      <c r="J667" s="90"/>
      <c r="K667" s="90"/>
    </row>
    <row r="668" ht="15.75" customHeight="1">
      <c r="D668" s="89"/>
      <c r="F668" s="92"/>
      <c r="G668" s="92"/>
      <c r="H668" s="110"/>
      <c r="J668" s="90"/>
      <c r="K668" s="90"/>
    </row>
    <row r="669" ht="15.75" customHeight="1">
      <c r="D669" s="89"/>
      <c r="F669" s="92"/>
      <c r="G669" s="92"/>
      <c r="H669" s="110"/>
      <c r="J669" s="90"/>
      <c r="K669" s="90"/>
    </row>
    <row r="670" ht="15.75" customHeight="1">
      <c r="D670" s="89"/>
      <c r="F670" s="92"/>
      <c r="G670" s="92"/>
      <c r="H670" s="110"/>
      <c r="J670" s="90"/>
      <c r="K670" s="90"/>
    </row>
    <row r="671" ht="15.75" customHeight="1">
      <c r="D671" s="89"/>
      <c r="F671" s="92"/>
      <c r="G671" s="92"/>
      <c r="H671" s="110"/>
      <c r="J671" s="90"/>
      <c r="K671" s="90"/>
    </row>
    <row r="672" ht="15.75" customHeight="1">
      <c r="D672" s="89"/>
      <c r="F672" s="92"/>
      <c r="G672" s="92"/>
      <c r="H672" s="110"/>
      <c r="J672" s="90"/>
      <c r="K672" s="90"/>
    </row>
    <row r="673" ht="15.75" customHeight="1">
      <c r="D673" s="89"/>
      <c r="F673" s="92"/>
      <c r="G673" s="92"/>
      <c r="H673" s="110"/>
      <c r="J673" s="90"/>
      <c r="K673" s="90"/>
    </row>
    <row r="674" ht="15.75" customHeight="1">
      <c r="D674" s="89"/>
      <c r="F674" s="92"/>
      <c r="G674" s="92"/>
      <c r="H674" s="110"/>
      <c r="J674" s="90"/>
      <c r="K674" s="90"/>
    </row>
    <row r="675" ht="15.75" customHeight="1">
      <c r="D675" s="89"/>
      <c r="F675" s="92"/>
      <c r="G675" s="92"/>
      <c r="H675" s="110"/>
      <c r="J675" s="90"/>
      <c r="K675" s="90"/>
    </row>
    <row r="676" ht="15.75" customHeight="1">
      <c r="D676" s="89"/>
      <c r="F676" s="92"/>
      <c r="G676" s="92"/>
      <c r="H676" s="110"/>
      <c r="J676" s="90"/>
      <c r="K676" s="90"/>
    </row>
    <row r="677" ht="15.75" customHeight="1">
      <c r="D677" s="89"/>
      <c r="F677" s="92"/>
      <c r="G677" s="92"/>
      <c r="H677" s="110"/>
      <c r="J677" s="90"/>
      <c r="K677" s="90"/>
    </row>
    <row r="678" ht="15.75" customHeight="1">
      <c r="D678" s="89"/>
      <c r="F678" s="92"/>
      <c r="G678" s="92"/>
      <c r="H678" s="110"/>
      <c r="J678" s="90"/>
      <c r="K678" s="90"/>
    </row>
    <row r="679" ht="15.75" customHeight="1">
      <c r="D679" s="89"/>
      <c r="F679" s="92"/>
      <c r="G679" s="92"/>
      <c r="H679" s="110"/>
      <c r="J679" s="90"/>
      <c r="K679" s="90"/>
    </row>
    <row r="680" ht="15.75" customHeight="1">
      <c r="D680" s="89"/>
      <c r="F680" s="92"/>
      <c r="G680" s="92"/>
      <c r="H680" s="110"/>
      <c r="J680" s="90"/>
      <c r="K680" s="90"/>
    </row>
    <row r="681" ht="15.75" customHeight="1">
      <c r="D681" s="89"/>
      <c r="F681" s="92"/>
      <c r="G681" s="92"/>
      <c r="H681" s="110"/>
      <c r="J681" s="90"/>
      <c r="K681" s="90"/>
    </row>
    <row r="682" ht="15.75" customHeight="1">
      <c r="D682" s="89"/>
      <c r="F682" s="92"/>
      <c r="G682" s="92"/>
      <c r="H682" s="110"/>
      <c r="J682" s="90"/>
      <c r="K682" s="90"/>
    </row>
    <row r="683" ht="15.75" customHeight="1">
      <c r="D683" s="89"/>
      <c r="F683" s="92"/>
      <c r="G683" s="92"/>
      <c r="H683" s="110"/>
      <c r="J683" s="90"/>
      <c r="K683" s="90"/>
    </row>
    <row r="684" ht="15.75" customHeight="1">
      <c r="D684" s="89"/>
      <c r="F684" s="92"/>
      <c r="G684" s="92"/>
      <c r="H684" s="110"/>
      <c r="J684" s="90"/>
      <c r="K684" s="90"/>
    </row>
    <row r="685" ht="15.75" customHeight="1">
      <c r="D685" s="89"/>
      <c r="F685" s="92"/>
      <c r="G685" s="92"/>
      <c r="H685" s="110"/>
      <c r="J685" s="90"/>
      <c r="K685" s="90"/>
    </row>
    <row r="686" ht="15.75" customHeight="1">
      <c r="D686" s="89"/>
      <c r="F686" s="92"/>
      <c r="G686" s="92"/>
      <c r="H686" s="110"/>
      <c r="J686" s="90"/>
      <c r="K686" s="90"/>
    </row>
    <row r="687" ht="15.75" customHeight="1">
      <c r="D687" s="89"/>
      <c r="F687" s="92"/>
      <c r="G687" s="92"/>
      <c r="H687" s="110"/>
      <c r="J687" s="90"/>
      <c r="K687" s="90"/>
    </row>
    <row r="688" ht="15.75" customHeight="1">
      <c r="D688" s="89"/>
      <c r="F688" s="92"/>
      <c r="G688" s="92"/>
      <c r="H688" s="110"/>
      <c r="J688" s="90"/>
      <c r="K688" s="90"/>
    </row>
    <row r="689" ht="15.75" customHeight="1">
      <c r="D689" s="89"/>
      <c r="F689" s="92"/>
      <c r="G689" s="92"/>
      <c r="H689" s="110"/>
      <c r="J689" s="90"/>
      <c r="K689" s="90"/>
    </row>
    <row r="690" ht="15.75" customHeight="1">
      <c r="D690" s="89"/>
      <c r="F690" s="92"/>
      <c r="G690" s="92"/>
      <c r="H690" s="110"/>
      <c r="J690" s="90"/>
      <c r="K690" s="90"/>
    </row>
    <row r="691" ht="15.75" customHeight="1">
      <c r="D691" s="89"/>
      <c r="F691" s="92"/>
      <c r="G691" s="92"/>
      <c r="H691" s="110"/>
      <c r="J691" s="90"/>
      <c r="K691" s="90"/>
    </row>
    <row r="692" ht="15.75" customHeight="1">
      <c r="D692" s="89"/>
      <c r="F692" s="92"/>
      <c r="G692" s="92"/>
      <c r="H692" s="110"/>
      <c r="J692" s="90"/>
      <c r="K692" s="90"/>
    </row>
    <row r="693" ht="15.75" customHeight="1">
      <c r="D693" s="89"/>
      <c r="F693" s="92"/>
      <c r="G693" s="92"/>
      <c r="H693" s="110"/>
      <c r="J693" s="90"/>
      <c r="K693" s="90"/>
    </row>
    <row r="694" ht="15.75" customHeight="1">
      <c r="D694" s="89"/>
      <c r="F694" s="92"/>
      <c r="G694" s="92"/>
      <c r="H694" s="110"/>
      <c r="J694" s="90"/>
      <c r="K694" s="90"/>
    </row>
    <row r="695" ht="15.75" customHeight="1">
      <c r="D695" s="89"/>
      <c r="F695" s="92"/>
      <c r="G695" s="92"/>
      <c r="H695" s="110"/>
      <c r="J695" s="90"/>
      <c r="K695" s="90"/>
    </row>
    <row r="696" ht="15.75" customHeight="1">
      <c r="D696" s="89"/>
      <c r="F696" s="92"/>
      <c r="G696" s="92"/>
      <c r="H696" s="110"/>
      <c r="J696" s="90"/>
      <c r="K696" s="90"/>
    </row>
    <row r="697" ht="15.75" customHeight="1">
      <c r="D697" s="89"/>
      <c r="F697" s="92"/>
      <c r="G697" s="92"/>
      <c r="H697" s="110"/>
      <c r="J697" s="90"/>
      <c r="K697" s="90"/>
    </row>
    <row r="698" ht="15.75" customHeight="1">
      <c r="D698" s="89"/>
      <c r="F698" s="92"/>
      <c r="G698" s="92"/>
      <c r="H698" s="110"/>
      <c r="J698" s="90"/>
      <c r="K698" s="90"/>
    </row>
    <row r="699" ht="15.75" customHeight="1">
      <c r="D699" s="89"/>
      <c r="F699" s="92"/>
      <c r="G699" s="92"/>
      <c r="H699" s="110"/>
      <c r="J699" s="90"/>
      <c r="K699" s="90"/>
    </row>
    <row r="700" ht="15.75" customHeight="1">
      <c r="D700" s="89"/>
      <c r="F700" s="92"/>
      <c r="G700" s="92"/>
      <c r="H700" s="110"/>
      <c r="J700" s="90"/>
      <c r="K700" s="90"/>
    </row>
    <row r="701" ht="15.75" customHeight="1">
      <c r="D701" s="89"/>
      <c r="F701" s="92"/>
      <c r="G701" s="92"/>
      <c r="H701" s="110"/>
      <c r="J701" s="90"/>
      <c r="K701" s="90"/>
    </row>
    <row r="702" ht="15.75" customHeight="1">
      <c r="D702" s="89"/>
      <c r="F702" s="92"/>
      <c r="G702" s="92"/>
      <c r="H702" s="110"/>
      <c r="J702" s="90"/>
      <c r="K702" s="90"/>
    </row>
    <row r="703" ht="15.75" customHeight="1">
      <c r="D703" s="89"/>
      <c r="F703" s="92"/>
      <c r="G703" s="92"/>
      <c r="H703" s="110"/>
      <c r="J703" s="90"/>
      <c r="K703" s="90"/>
    </row>
    <row r="704" ht="15.75" customHeight="1">
      <c r="D704" s="89"/>
      <c r="F704" s="92"/>
      <c r="G704" s="92"/>
      <c r="H704" s="110"/>
      <c r="J704" s="90"/>
      <c r="K704" s="90"/>
    </row>
    <row r="705" ht="15.75" customHeight="1">
      <c r="D705" s="89"/>
      <c r="F705" s="92"/>
      <c r="G705" s="92"/>
      <c r="H705" s="110"/>
      <c r="J705" s="90"/>
      <c r="K705" s="90"/>
    </row>
    <row r="706" ht="15.75" customHeight="1">
      <c r="D706" s="89"/>
      <c r="F706" s="92"/>
      <c r="G706" s="92"/>
      <c r="H706" s="110"/>
      <c r="J706" s="90"/>
      <c r="K706" s="90"/>
    </row>
    <row r="707" ht="15.75" customHeight="1">
      <c r="D707" s="89"/>
      <c r="F707" s="92"/>
      <c r="G707" s="92"/>
      <c r="H707" s="110"/>
      <c r="J707" s="90"/>
      <c r="K707" s="90"/>
    </row>
    <row r="708" ht="15.75" customHeight="1">
      <c r="D708" s="89"/>
      <c r="F708" s="92"/>
      <c r="G708" s="92"/>
      <c r="H708" s="110"/>
      <c r="J708" s="90"/>
      <c r="K708" s="90"/>
    </row>
    <row r="709" ht="15.75" customHeight="1">
      <c r="D709" s="89"/>
      <c r="F709" s="92"/>
      <c r="G709" s="92"/>
      <c r="H709" s="110"/>
      <c r="J709" s="90"/>
      <c r="K709" s="90"/>
    </row>
    <row r="710" ht="15.75" customHeight="1">
      <c r="D710" s="89"/>
      <c r="F710" s="92"/>
      <c r="G710" s="92"/>
      <c r="H710" s="110"/>
      <c r="J710" s="90"/>
      <c r="K710" s="90"/>
    </row>
    <row r="711" ht="15.75" customHeight="1">
      <c r="D711" s="89"/>
      <c r="F711" s="92"/>
      <c r="G711" s="92"/>
      <c r="H711" s="110"/>
      <c r="J711" s="90"/>
      <c r="K711" s="90"/>
    </row>
    <row r="712" ht="15.75" customHeight="1">
      <c r="D712" s="89"/>
      <c r="F712" s="92"/>
      <c r="G712" s="92"/>
      <c r="H712" s="110"/>
      <c r="J712" s="90"/>
      <c r="K712" s="90"/>
    </row>
    <row r="713" ht="15.75" customHeight="1">
      <c r="D713" s="89"/>
      <c r="F713" s="92"/>
      <c r="G713" s="92"/>
      <c r="H713" s="110"/>
      <c r="J713" s="90"/>
      <c r="K713" s="90"/>
    </row>
    <row r="714" ht="15.75" customHeight="1">
      <c r="D714" s="89"/>
      <c r="F714" s="92"/>
      <c r="G714" s="92"/>
      <c r="H714" s="110"/>
      <c r="J714" s="90"/>
      <c r="K714" s="90"/>
    </row>
    <row r="715" ht="15.75" customHeight="1">
      <c r="D715" s="89"/>
      <c r="F715" s="92"/>
      <c r="G715" s="92"/>
      <c r="H715" s="110"/>
      <c r="J715" s="90"/>
      <c r="K715" s="90"/>
    </row>
    <row r="716" ht="15.75" customHeight="1">
      <c r="D716" s="89"/>
      <c r="F716" s="92"/>
      <c r="G716" s="92"/>
      <c r="H716" s="110"/>
      <c r="J716" s="90"/>
      <c r="K716" s="90"/>
    </row>
    <row r="717" ht="15.75" customHeight="1">
      <c r="D717" s="89"/>
      <c r="F717" s="92"/>
      <c r="G717" s="92"/>
      <c r="H717" s="110"/>
      <c r="J717" s="90"/>
      <c r="K717" s="90"/>
    </row>
    <row r="718" ht="15.75" customHeight="1">
      <c r="D718" s="89"/>
      <c r="F718" s="92"/>
      <c r="G718" s="92"/>
      <c r="H718" s="110"/>
      <c r="J718" s="90"/>
      <c r="K718" s="90"/>
    </row>
    <row r="719" ht="15.75" customHeight="1">
      <c r="D719" s="89"/>
      <c r="F719" s="92"/>
      <c r="G719" s="92"/>
      <c r="H719" s="110"/>
      <c r="J719" s="90"/>
      <c r="K719" s="90"/>
    </row>
    <row r="720" ht="15.75" customHeight="1">
      <c r="D720" s="89"/>
      <c r="F720" s="92"/>
      <c r="G720" s="92"/>
      <c r="H720" s="110"/>
      <c r="J720" s="90"/>
      <c r="K720" s="90"/>
    </row>
    <row r="721" ht="15.75" customHeight="1">
      <c r="D721" s="89"/>
      <c r="F721" s="92"/>
      <c r="G721" s="92"/>
      <c r="H721" s="110"/>
      <c r="J721" s="90"/>
      <c r="K721" s="90"/>
    </row>
    <row r="722" ht="15.75" customHeight="1">
      <c r="D722" s="89"/>
      <c r="F722" s="92"/>
      <c r="G722" s="92"/>
      <c r="H722" s="110"/>
      <c r="J722" s="90"/>
      <c r="K722" s="90"/>
    </row>
    <row r="723" ht="15.75" customHeight="1">
      <c r="D723" s="89"/>
      <c r="F723" s="92"/>
      <c r="G723" s="92"/>
      <c r="H723" s="110"/>
      <c r="J723" s="90"/>
      <c r="K723" s="90"/>
    </row>
    <row r="724" ht="15.75" customHeight="1">
      <c r="D724" s="89"/>
      <c r="F724" s="92"/>
      <c r="G724" s="92"/>
      <c r="H724" s="110"/>
      <c r="J724" s="90"/>
      <c r="K724" s="90"/>
    </row>
    <row r="725" ht="15.75" customHeight="1">
      <c r="D725" s="89"/>
      <c r="F725" s="92"/>
      <c r="G725" s="92"/>
      <c r="H725" s="110"/>
      <c r="J725" s="90"/>
      <c r="K725" s="90"/>
    </row>
    <row r="726" ht="15.75" customHeight="1">
      <c r="D726" s="89"/>
      <c r="F726" s="92"/>
      <c r="G726" s="92"/>
      <c r="H726" s="110"/>
      <c r="J726" s="90"/>
      <c r="K726" s="90"/>
    </row>
    <row r="727" ht="15.75" customHeight="1">
      <c r="D727" s="89"/>
      <c r="F727" s="92"/>
      <c r="G727" s="92"/>
      <c r="H727" s="110"/>
      <c r="J727" s="90"/>
      <c r="K727" s="90"/>
    </row>
    <row r="728" ht="15.75" customHeight="1">
      <c r="D728" s="89"/>
      <c r="F728" s="92"/>
      <c r="G728" s="92"/>
      <c r="H728" s="110"/>
      <c r="J728" s="90"/>
      <c r="K728" s="90"/>
    </row>
    <row r="729" ht="15.75" customHeight="1">
      <c r="D729" s="89"/>
      <c r="F729" s="92"/>
      <c r="G729" s="92"/>
      <c r="H729" s="110"/>
      <c r="J729" s="90"/>
      <c r="K729" s="90"/>
    </row>
    <row r="730" ht="15.75" customHeight="1">
      <c r="D730" s="89"/>
      <c r="F730" s="92"/>
      <c r="G730" s="92"/>
      <c r="H730" s="110"/>
      <c r="J730" s="90"/>
      <c r="K730" s="90"/>
    </row>
    <row r="731" ht="15.75" customHeight="1">
      <c r="D731" s="89"/>
      <c r="F731" s="92"/>
      <c r="G731" s="92"/>
      <c r="H731" s="110"/>
      <c r="J731" s="90"/>
      <c r="K731" s="90"/>
    </row>
    <row r="732" ht="15.75" customHeight="1">
      <c r="D732" s="89"/>
      <c r="F732" s="92"/>
      <c r="G732" s="92"/>
      <c r="H732" s="110"/>
      <c r="J732" s="90"/>
      <c r="K732" s="90"/>
    </row>
    <row r="733" ht="15.75" customHeight="1">
      <c r="D733" s="89"/>
      <c r="F733" s="92"/>
      <c r="G733" s="92"/>
      <c r="H733" s="110"/>
      <c r="J733" s="90"/>
      <c r="K733" s="90"/>
    </row>
    <row r="734" ht="15.75" customHeight="1">
      <c r="D734" s="89"/>
      <c r="F734" s="92"/>
      <c r="G734" s="92"/>
      <c r="H734" s="110"/>
      <c r="J734" s="90"/>
      <c r="K734" s="90"/>
    </row>
    <row r="735" ht="15.75" customHeight="1">
      <c r="D735" s="89"/>
      <c r="F735" s="92"/>
      <c r="G735" s="92"/>
      <c r="H735" s="110"/>
      <c r="J735" s="90"/>
      <c r="K735" s="90"/>
    </row>
    <row r="736" ht="15.75" customHeight="1">
      <c r="D736" s="89"/>
      <c r="F736" s="92"/>
      <c r="G736" s="92"/>
      <c r="H736" s="110"/>
      <c r="J736" s="90"/>
      <c r="K736" s="90"/>
    </row>
    <row r="737" ht="15.75" customHeight="1">
      <c r="D737" s="89"/>
      <c r="F737" s="92"/>
      <c r="G737" s="92"/>
      <c r="H737" s="110"/>
      <c r="J737" s="90"/>
      <c r="K737" s="90"/>
    </row>
    <row r="738" ht="15.75" customHeight="1">
      <c r="D738" s="89"/>
      <c r="F738" s="92"/>
      <c r="G738" s="92"/>
      <c r="H738" s="110"/>
      <c r="J738" s="90"/>
      <c r="K738" s="90"/>
    </row>
    <row r="739" ht="15.75" customHeight="1">
      <c r="D739" s="89"/>
      <c r="F739" s="92"/>
      <c r="G739" s="92"/>
      <c r="H739" s="110"/>
      <c r="J739" s="90"/>
      <c r="K739" s="90"/>
    </row>
    <row r="740" ht="15.75" customHeight="1">
      <c r="D740" s="89"/>
      <c r="F740" s="92"/>
      <c r="G740" s="92"/>
      <c r="H740" s="110"/>
      <c r="J740" s="90"/>
      <c r="K740" s="90"/>
    </row>
    <row r="741" ht="15.75" customHeight="1">
      <c r="D741" s="89"/>
      <c r="F741" s="92"/>
      <c r="G741" s="92"/>
      <c r="H741" s="110"/>
      <c r="J741" s="90"/>
      <c r="K741" s="90"/>
    </row>
    <row r="742" ht="15.75" customHeight="1">
      <c r="D742" s="89"/>
      <c r="F742" s="92"/>
      <c r="G742" s="92"/>
      <c r="H742" s="110"/>
      <c r="J742" s="90"/>
      <c r="K742" s="90"/>
    </row>
    <row r="743" ht="15.75" customHeight="1">
      <c r="D743" s="89"/>
      <c r="F743" s="92"/>
      <c r="G743" s="92"/>
      <c r="H743" s="110"/>
      <c r="J743" s="90"/>
      <c r="K743" s="90"/>
    </row>
    <row r="744" ht="15.75" customHeight="1">
      <c r="D744" s="89"/>
      <c r="F744" s="92"/>
      <c r="G744" s="92"/>
      <c r="H744" s="110"/>
      <c r="J744" s="90"/>
      <c r="K744" s="90"/>
    </row>
    <row r="745" ht="15.75" customHeight="1">
      <c r="D745" s="89"/>
      <c r="F745" s="92"/>
      <c r="G745" s="92"/>
      <c r="H745" s="110"/>
      <c r="J745" s="90"/>
      <c r="K745" s="90"/>
    </row>
    <row r="746" ht="15.75" customHeight="1">
      <c r="D746" s="89"/>
      <c r="F746" s="92"/>
      <c r="G746" s="92"/>
      <c r="H746" s="110"/>
      <c r="J746" s="90"/>
      <c r="K746" s="90"/>
    </row>
    <row r="747" ht="15.75" customHeight="1">
      <c r="D747" s="89"/>
      <c r="F747" s="92"/>
      <c r="G747" s="92"/>
      <c r="H747" s="110"/>
      <c r="J747" s="90"/>
      <c r="K747" s="90"/>
    </row>
    <row r="748" ht="15.75" customHeight="1">
      <c r="D748" s="89"/>
      <c r="F748" s="92"/>
      <c r="G748" s="92"/>
      <c r="H748" s="110"/>
      <c r="J748" s="90"/>
      <c r="K748" s="90"/>
    </row>
    <row r="749" ht="15.75" customHeight="1">
      <c r="D749" s="89"/>
      <c r="F749" s="92"/>
      <c r="G749" s="92"/>
      <c r="H749" s="110"/>
      <c r="J749" s="90"/>
      <c r="K749" s="90"/>
    </row>
    <row r="750" ht="15.75" customHeight="1">
      <c r="D750" s="89"/>
      <c r="F750" s="92"/>
      <c r="G750" s="92"/>
      <c r="H750" s="110"/>
      <c r="J750" s="90"/>
      <c r="K750" s="90"/>
    </row>
    <row r="751" ht="15.75" customHeight="1">
      <c r="D751" s="89"/>
      <c r="F751" s="92"/>
      <c r="G751" s="92"/>
      <c r="H751" s="110"/>
      <c r="J751" s="90"/>
      <c r="K751" s="90"/>
    </row>
    <row r="752" ht="15.75" customHeight="1">
      <c r="D752" s="89"/>
      <c r="F752" s="92"/>
      <c r="G752" s="92"/>
      <c r="H752" s="110"/>
      <c r="J752" s="90"/>
      <c r="K752" s="90"/>
    </row>
    <row r="753" ht="15.75" customHeight="1">
      <c r="D753" s="89"/>
      <c r="F753" s="92"/>
      <c r="G753" s="92"/>
      <c r="H753" s="110"/>
      <c r="J753" s="90"/>
      <c r="K753" s="90"/>
    </row>
    <row r="754" ht="15.75" customHeight="1">
      <c r="D754" s="89"/>
      <c r="F754" s="92"/>
      <c r="G754" s="92"/>
      <c r="H754" s="110"/>
      <c r="J754" s="90"/>
      <c r="K754" s="90"/>
    </row>
    <row r="755" ht="15.75" customHeight="1">
      <c r="D755" s="89"/>
      <c r="F755" s="92"/>
      <c r="G755" s="92"/>
      <c r="H755" s="110"/>
      <c r="J755" s="90"/>
      <c r="K755" s="90"/>
    </row>
    <row r="756" ht="15.75" customHeight="1">
      <c r="D756" s="89"/>
      <c r="F756" s="92"/>
      <c r="G756" s="92"/>
      <c r="H756" s="110"/>
      <c r="J756" s="90"/>
      <c r="K756" s="90"/>
    </row>
    <row r="757" ht="15.75" customHeight="1">
      <c r="D757" s="89"/>
      <c r="F757" s="92"/>
      <c r="G757" s="92"/>
      <c r="H757" s="110"/>
      <c r="J757" s="90"/>
      <c r="K757" s="90"/>
    </row>
    <row r="758" ht="15.75" customHeight="1">
      <c r="D758" s="89"/>
      <c r="F758" s="92"/>
      <c r="G758" s="92"/>
      <c r="H758" s="110"/>
      <c r="J758" s="90"/>
      <c r="K758" s="90"/>
    </row>
    <row r="759" ht="15.75" customHeight="1">
      <c r="D759" s="89"/>
      <c r="F759" s="92"/>
      <c r="G759" s="92"/>
      <c r="H759" s="110"/>
      <c r="J759" s="90"/>
      <c r="K759" s="90"/>
    </row>
    <row r="760" ht="15.75" customHeight="1">
      <c r="D760" s="89"/>
      <c r="F760" s="92"/>
      <c r="G760" s="92"/>
      <c r="H760" s="110"/>
      <c r="J760" s="90"/>
      <c r="K760" s="90"/>
    </row>
    <row r="761" ht="15.75" customHeight="1">
      <c r="D761" s="89"/>
      <c r="F761" s="92"/>
      <c r="G761" s="92"/>
      <c r="H761" s="110"/>
      <c r="J761" s="90"/>
      <c r="K761" s="90"/>
    </row>
    <row r="762" ht="15.75" customHeight="1">
      <c r="D762" s="89"/>
      <c r="F762" s="92"/>
      <c r="G762" s="92"/>
      <c r="H762" s="110"/>
      <c r="J762" s="90"/>
      <c r="K762" s="90"/>
    </row>
    <row r="763" ht="15.75" customHeight="1">
      <c r="D763" s="89"/>
      <c r="F763" s="92"/>
      <c r="G763" s="92"/>
      <c r="H763" s="110"/>
      <c r="J763" s="90"/>
      <c r="K763" s="90"/>
    </row>
    <row r="764" ht="15.75" customHeight="1">
      <c r="D764" s="89"/>
      <c r="F764" s="92"/>
      <c r="G764" s="92"/>
      <c r="H764" s="110"/>
      <c r="J764" s="90"/>
      <c r="K764" s="90"/>
    </row>
    <row r="765" ht="15.75" customHeight="1">
      <c r="D765" s="89"/>
      <c r="F765" s="92"/>
      <c r="G765" s="92"/>
      <c r="H765" s="110"/>
      <c r="J765" s="90"/>
      <c r="K765" s="90"/>
    </row>
    <row r="766" ht="15.75" customHeight="1">
      <c r="D766" s="89"/>
      <c r="F766" s="92"/>
      <c r="G766" s="92"/>
      <c r="H766" s="110"/>
      <c r="J766" s="90"/>
      <c r="K766" s="90"/>
    </row>
    <row r="767" ht="15.75" customHeight="1">
      <c r="D767" s="89"/>
      <c r="F767" s="92"/>
      <c r="G767" s="92"/>
      <c r="H767" s="110"/>
      <c r="J767" s="90"/>
      <c r="K767" s="90"/>
    </row>
    <row r="768" ht="15.75" customHeight="1">
      <c r="D768" s="89"/>
      <c r="F768" s="92"/>
      <c r="G768" s="92"/>
      <c r="H768" s="110"/>
      <c r="J768" s="90"/>
      <c r="K768" s="90"/>
    </row>
    <row r="769" ht="15.75" customHeight="1">
      <c r="D769" s="89"/>
      <c r="F769" s="92"/>
      <c r="G769" s="92"/>
      <c r="H769" s="110"/>
      <c r="J769" s="90"/>
      <c r="K769" s="90"/>
    </row>
    <row r="770" ht="15.75" customHeight="1">
      <c r="D770" s="89"/>
      <c r="F770" s="92"/>
      <c r="G770" s="92"/>
      <c r="H770" s="110"/>
      <c r="J770" s="90"/>
      <c r="K770" s="90"/>
    </row>
    <row r="771" ht="15.75" customHeight="1">
      <c r="D771" s="89"/>
      <c r="F771" s="92"/>
      <c r="G771" s="92"/>
      <c r="H771" s="110"/>
      <c r="J771" s="90"/>
      <c r="K771" s="90"/>
    </row>
    <row r="772" ht="15.75" customHeight="1">
      <c r="D772" s="89"/>
      <c r="F772" s="92"/>
      <c r="G772" s="92"/>
      <c r="H772" s="110"/>
      <c r="J772" s="90"/>
      <c r="K772" s="90"/>
    </row>
    <row r="773" ht="15.75" customHeight="1">
      <c r="D773" s="89"/>
      <c r="F773" s="92"/>
      <c r="G773" s="92"/>
      <c r="H773" s="110"/>
      <c r="J773" s="90"/>
      <c r="K773" s="90"/>
    </row>
    <row r="774" ht="15.75" customHeight="1">
      <c r="D774" s="89"/>
      <c r="F774" s="92"/>
      <c r="G774" s="92"/>
      <c r="H774" s="110"/>
      <c r="J774" s="90"/>
      <c r="K774" s="90"/>
    </row>
    <row r="775" ht="15.75" customHeight="1">
      <c r="D775" s="89"/>
      <c r="F775" s="92"/>
      <c r="G775" s="92"/>
      <c r="H775" s="110"/>
      <c r="J775" s="90"/>
      <c r="K775" s="90"/>
    </row>
    <row r="776" ht="15.75" customHeight="1">
      <c r="D776" s="89"/>
      <c r="F776" s="92"/>
      <c r="G776" s="92"/>
      <c r="H776" s="110"/>
      <c r="J776" s="90"/>
      <c r="K776" s="90"/>
    </row>
    <row r="777" ht="15.75" customHeight="1">
      <c r="D777" s="89"/>
      <c r="F777" s="92"/>
      <c r="G777" s="92"/>
      <c r="H777" s="110"/>
      <c r="J777" s="90"/>
      <c r="K777" s="90"/>
    </row>
    <row r="778" ht="15.75" customHeight="1">
      <c r="D778" s="89"/>
      <c r="F778" s="92"/>
      <c r="G778" s="92"/>
      <c r="H778" s="110"/>
      <c r="J778" s="90"/>
      <c r="K778" s="90"/>
    </row>
    <row r="779" ht="15.75" customHeight="1">
      <c r="D779" s="89"/>
      <c r="F779" s="92"/>
      <c r="G779" s="92"/>
      <c r="H779" s="110"/>
      <c r="J779" s="90"/>
      <c r="K779" s="90"/>
    </row>
    <row r="780" ht="15.75" customHeight="1">
      <c r="D780" s="89"/>
      <c r="F780" s="92"/>
      <c r="G780" s="92"/>
      <c r="H780" s="110"/>
      <c r="J780" s="90"/>
      <c r="K780" s="90"/>
    </row>
    <row r="781" ht="15.75" customHeight="1">
      <c r="D781" s="89"/>
      <c r="F781" s="92"/>
      <c r="G781" s="92"/>
      <c r="H781" s="110"/>
      <c r="J781" s="90"/>
      <c r="K781" s="90"/>
    </row>
    <row r="782" ht="15.75" customHeight="1">
      <c r="D782" s="89"/>
      <c r="F782" s="92"/>
      <c r="G782" s="92"/>
      <c r="H782" s="110"/>
      <c r="J782" s="90"/>
      <c r="K782" s="90"/>
    </row>
    <row r="783" ht="15.75" customHeight="1">
      <c r="D783" s="89"/>
      <c r="F783" s="92"/>
      <c r="G783" s="92"/>
      <c r="H783" s="110"/>
      <c r="J783" s="90"/>
      <c r="K783" s="90"/>
    </row>
    <row r="784" ht="15.75" customHeight="1">
      <c r="D784" s="89"/>
      <c r="F784" s="92"/>
      <c r="G784" s="92"/>
      <c r="H784" s="110"/>
      <c r="J784" s="90"/>
      <c r="K784" s="90"/>
    </row>
    <row r="785" ht="15.75" customHeight="1">
      <c r="D785" s="89"/>
      <c r="F785" s="92"/>
      <c r="G785" s="92"/>
      <c r="H785" s="110"/>
      <c r="J785" s="90"/>
      <c r="K785" s="90"/>
    </row>
    <row r="786" ht="15.75" customHeight="1">
      <c r="D786" s="89"/>
      <c r="F786" s="92"/>
      <c r="G786" s="92"/>
      <c r="H786" s="110"/>
      <c r="J786" s="90"/>
      <c r="K786" s="90"/>
    </row>
    <row r="787" ht="15.75" customHeight="1">
      <c r="D787" s="89"/>
      <c r="F787" s="92"/>
      <c r="G787" s="92"/>
      <c r="H787" s="110"/>
      <c r="J787" s="90"/>
      <c r="K787" s="90"/>
    </row>
    <row r="788" ht="15.75" customHeight="1">
      <c r="D788" s="89"/>
      <c r="F788" s="92"/>
      <c r="G788" s="92"/>
      <c r="H788" s="110"/>
      <c r="J788" s="90"/>
      <c r="K788" s="90"/>
    </row>
    <row r="789" ht="15.75" customHeight="1">
      <c r="D789" s="89"/>
      <c r="F789" s="92"/>
      <c r="G789" s="92"/>
      <c r="H789" s="110"/>
      <c r="J789" s="90"/>
      <c r="K789" s="90"/>
    </row>
    <row r="790" ht="15.75" customHeight="1">
      <c r="D790" s="89"/>
      <c r="F790" s="92"/>
      <c r="G790" s="92"/>
      <c r="H790" s="110"/>
      <c r="J790" s="90"/>
      <c r="K790" s="90"/>
    </row>
    <row r="791" ht="15.75" customHeight="1">
      <c r="D791" s="89"/>
      <c r="F791" s="92"/>
      <c r="G791" s="92"/>
      <c r="H791" s="110"/>
      <c r="J791" s="90"/>
      <c r="K791" s="90"/>
    </row>
    <row r="792" ht="15.75" customHeight="1">
      <c r="D792" s="89"/>
      <c r="F792" s="92"/>
      <c r="G792" s="92"/>
      <c r="H792" s="110"/>
      <c r="J792" s="90"/>
      <c r="K792" s="90"/>
    </row>
    <row r="793" ht="15.75" customHeight="1">
      <c r="D793" s="89"/>
      <c r="F793" s="92"/>
      <c r="G793" s="92"/>
      <c r="H793" s="110"/>
      <c r="J793" s="90"/>
      <c r="K793" s="90"/>
    </row>
    <row r="794" ht="15.75" customHeight="1">
      <c r="D794" s="89"/>
      <c r="F794" s="92"/>
      <c r="G794" s="92"/>
      <c r="H794" s="110"/>
      <c r="J794" s="90"/>
      <c r="K794" s="90"/>
    </row>
    <row r="795" ht="15.75" customHeight="1">
      <c r="D795" s="89"/>
      <c r="F795" s="92"/>
      <c r="G795" s="92"/>
      <c r="H795" s="110"/>
      <c r="J795" s="90"/>
      <c r="K795" s="90"/>
    </row>
    <row r="796" ht="15.75" customHeight="1">
      <c r="D796" s="89"/>
      <c r="F796" s="92"/>
      <c r="G796" s="92"/>
      <c r="H796" s="110"/>
      <c r="J796" s="90"/>
      <c r="K796" s="90"/>
    </row>
    <row r="797" ht="15.75" customHeight="1">
      <c r="D797" s="89"/>
      <c r="F797" s="92"/>
      <c r="G797" s="92"/>
      <c r="H797" s="110"/>
      <c r="J797" s="90"/>
      <c r="K797" s="90"/>
    </row>
    <row r="798" ht="15.75" customHeight="1">
      <c r="D798" s="89"/>
      <c r="F798" s="92"/>
      <c r="G798" s="92"/>
      <c r="H798" s="110"/>
      <c r="J798" s="90"/>
      <c r="K798" s="90"/>
    </row>
    <row r="799" ht="15.75" customHeight="1">
      <c r="D799" s="89"/>
      <c r="F799" s="92"/>
      <c r="G799" s="92"/>
      <c r="H799" s="110"/>
      <c r="J799" s="90"/>
      <c r="K799" s="90"/>
    </row>
    <row r="800" ht="15.75" customHeight="1">
      <c r="D800" s="89"/>
      <c r="F800" s="92"/>
      <c r="G800" s="92"/>
      <c r="H800" s="110"/>
      <c r="J800" s="90"/>
      <c r="K800" s="90"/>
    </row>
    <row r="801" ht="15.75" customHeight="1">
      <c r="D801" s="89"/>
      <c r="F801" s="92"/>
      <c r="G801" s="92"/>
      <c r="H801" s="110"/>
      <c r="J801" s="90"/>
      <c r="K801" s="90"/>
    </row>
    <row r="802" ht="15.75" customHeight="1">
      <c r="D802" s="89"/>
      <c r="F802" s="92"/>
      <c r="G802" s="92"/>
      <c r="H802" s="110"/>
      <c r="J802" s="90"/>
      <c r="K802" s="90"/>
    </row>
    <row r="803" ht="15.75" customHeight="1">
      <c r="D803" s="89"/>
      <c r="F803" s="92"/>
      <c r="G803" s="92"/>
      <c r="H803" s="110"/>
      <c r="J803" s="90"/>
      <c r="K803" s="90"/>
    </row>
    <row r="804" ht="15.75" customHeight="1">
      <c r="D804" s="89"/>
      <c r="F804" s="92"/>
      <c r="G804" s="92"/>
      <c r="H804" s="110"/>
      <c r="J804" s="90"/>
      <c r="K804" s="90"/>
    </row>
    <row r="805" ht="15.75" customHeight="1">
      <c r="D805" s="89"/>
      <c r="F805" s="92"/>
      <c r="G805" s="92"/>
      <c r="H805" s="110"/>
      <c r="J805" s="90"/>
      <c r="K805" s="90"/>
    </row>
    <row r="806" ht="15.75" customHeight="1">
      <c r="D806" s="89"/>
      <c r="F806" s="92"/>
      <c r="G806" s="92"/>
      <c r="H806" s="110"/>
      <c r="J806" s="90"/>
      <c r="K806" s="90"/>
    </row>
    <row r="807" ht="15.75" customHeight="1">
      <c r="D807" s="89"/>
      <c r="F807" s="92"/>
      <c r="G807" s="92"/>
      <c r="H807" s="110"/>
      <c r="J807" s="90"/>
      <c r="K807" s="90"/>
    </row>
    <row r="808" ht="15.75" customHeight="1">
      <c r="D808" s="89"/>
      <c r="F808" s="92"/>
      <c r="G808" s="92"/>
      <c r="H808" s="110"/>
      <c r="J808" s="90"/>
      <c r="K808" s="90"/>
    </row>
    <row r="809" ht="15.75" customHeight="1">
      <c r="D809" s="89"/>
      <c r="F809" s="92"/>
      <c r="G809" s="92"/>
      <c r="H809" s="110"/>
      <c r="J809" s="90"/>
      <c r="K809" s="90"/>
    </row>
    <row r="810" ht="15.75" customHeight="1">
      <c r="D810" s="89"/>
      <c r="F810" s="92"/>
      <c r="G810" s="92"/>
      <c r="H810" s="110"/>
      <c r="J810" s="90"/>
      <c r="K810" s="90"/>
    </row>
    <row r="811" ht="15.75" customHeight="1">
      <c r="D811" s="89"/>
      <c r="F811" s="92"/>
      <c r="G811" s="92"/>
      <c r="H811" s="110"/>
      <c r="J811" s="90"/>
      <c r="K811" s="90"/>
    </row>
    <row r="812" ht="15.75" customHeight="1">
      <c r="D812" s="89"/>
      <c r="F812" s="92"/>
      <c r="G812" s="92"/>
      <c r="H812" s="110"/>
      <c r="J812" s="90"/>
      <c r="K812" s="90"/>
    </row>
    <row r="813" ht="15.75" customHeight="1">
      <c r="D813" s="89"/>
      <c r="F813" s="92"/>
      <c r="G813" s="92"/>
      <c r="H813" s="110"/>
      <c r="J813" s="90"/>
      <c r="K813" s="90"/>
    </row>
    <row r="814" ht="15.75" customHeight="1">
      <c r="D814" s="89"/>
      <c r="F814" s="92"/>
      <c r="G814" s="92"/>
      <c r="H814" s="110"/>
      <c r="J814" s="90"/>
      <c r="K814" s="90"/>
    </row>
    <row r="815" ht="15.75" customHeight="1">
      <c r="D815" s="89"/>
      <c r="F815" s="92"/>
      <c r="G815" s="92"/>
      <c r="H815" s="110"/>
      <c r="J815" s="90"/>
      <c r="K815" s="90"/>
    </row>
    <row r="816" ht="15.75" customHeight="1">
      <c r="D816" s="89"/>
      <c r="F816" s="92"/>
      <c r="G816" s="92"/>
      <c r="H816" s="110"/>
      <c r="J816" s="90"/>
      <c r="K816" s="90"/>
    </row>
    <row r="817" ht="15.75" customHeight="1">
      <c r="D817" s="89"/>
      <c r="F817" s="92"/>
      <c r="G817" s="92"/>
      <c r="H817" s="110"/>
      <c r="J817" s="90"/>
      <c r="K817" s="90"/>
    </row>
    <row r="818" ht="15.75" customHeight="1">
      <c r="D818" s="89"/>
      <c r="F818" s="92"/>
      <c r="G818" s="92"/>
      <c r="H818" s="110"/>
      <c r="J818" s="90"/>
      <c r="K818" s="90"/>
    </row>
    <row r="819" ht="15.75" customHeight="1">
      <c r="D819" s="89"/>
      <c r="F819" s="92"/>
      <c r="G819" s="92"/>
      <c r="H819" s="110"/>
      <c r="J819" s="90"/>
      <c r="K819" s="90"/>
    </row>
    <row r="820" ht="15.75" customHeight="1">
      <c r="D820" s="89"/>
      <c r="F820" s="92"/>
      <c r="G820" s="92"/>
      <c r="H820" s="110"/>
      <c r="J820" s="90"/>
      <c r="K820" s="90"/>
    </row>
    <row r="821" ht="15.75" customHeight="1">
      <c r="D821" s="89"/>
      <c r="F821" s="92"/>
      <c r="G821" s="92"/>
      <c r="H821" s="110"/>
      <c r="J821" s="90"/>
      <c r="K821" s="90"/>
    </row>
    <row r="822" ht="15.75" customHeight="1">
      <c r="D822" s="89"/>
      <c r="F822" s="92"/>
      <c r="G822" s="92"/>
      <c r="H822" s="110"/>
      <c r="J822" s="90"/>
      <c r="K822" s="90"/>
    </row>
    <row r="823" ht="15.75" customHeight="1">
      <c r="D823" s="89"/>
      <c r="F823" s="92"/>
      <c r="G823" s="92"/>
      <c r="H823" s="110"/>
      <c r="J823" s="90"/>
      <c r="K823" s="90"/>
    </row>
    <row r="824" ht="15.75" customHeight="1">
      <c r="D824" s="89"/>
      <c r="F824" s="92"/>
      <c r="G824" s="92"/>
      <c r="H824" s="110"/>
      <c r="J824" s="90"/>
      <c r="K824" s="90"/>
    </row>
    <row r="825" ht="15.75" customHeight="1">
      <c r="D825" s="89"/>
      <c r="F825" s="92"/>
      <c r="G825" s="92"/>
      <c r="H825" s="110"/>
      <c r="J825" s="90"/>
      <c r="K825" s="90"/>
    </row>
    <row r="826" ht="15.75" customHeight="1">
      <c r="D826" s="89"/>
      <c r="F826" s="92"/>
      <c r="G826" s="92"/>
      <c r="H826" s="110"/>
      <c r="J826" s="90"/>
      <c r="K826" s="90"/>
    </row>
    <row r="827" ht="15.75" customHeight="1">
      <c r="D827" s="89"/>
      <c r="F827" s="92"/>
      <c r="G827" s="92"/>
      <c r="H827" s="110"/>
      <c r="J827" s="90"/>
      <c r="K827" s="90"/>
    </row>
    <row r="828" ht="15.75" customHeight="1">
      <c r="D828" s="89"/>
      <c r="F828" s="92"/>
      <c r="G828" s="92"/>
      <c r="H828" s="110"/>
      <c r="J828" s="90"/>
      <c r="K828" s="90"/>
    </row>
    <row r="829" ht="15.75" customHeight="1">
      <c r="D829" s="89"/>
      <c r="F829" s="92"/>
      <c r="G829" s="92"/>
      <c r="H829" s="110"/>
      <c r="J829" s="90"/>
      <c r="K829" s="90"/>
    </row>
    <row r="830" ht="15.75" customHeight="1">
      <c r="D830" s="89"/>
      <c r="F830" s="92"/>
      <c r="G830" s="92"/>
      <c r="H830" s="110"/>
      <c r="J830" s="90"/>
      <c r="K830" s="90"/>
    </row>
    <row r="831" ht="15.75" customHeight="1">
      <c r="D831" s="89"/>
      <c r="F831" s="92"/>
      <c r="G831" s="92"/>
      <c r="H831" s="110"/>
      <c r="J831" s="90"/>
      <c r="K831" s="90"/>
    </row>
    <row r="832" ht="15.75" customHeight="1">
      <c r="D832" s="89"/>
      <c r="F832" s="92"/>
      <c r="G832" s="92"/>
      <c r="H832" s="110"/>
      <c r="J832" s="90"/>
      <c r="K832" s="90"/>
    </row>
    <row r="833" ht="15.75" customHeight="1">
      <c r="D833" s="89"/>
      <c r="F833" s="92"/>
      <c r="G833" s="92"/>
      <c r="H833" s="110"/>
      <c r="J833" s="90"/>
      <c r="K833" s="90"/>
    </row>
    <row r="834" ht="15.75" customHeight="1">
      <c r="D834" s="89"/>
      <c r="F834" s="92"/>
      <c r="G834" s="92"/>
      <c r="H834" s="110"/>
      <c r="J834" s="90"/>
      <c r="K834" s="90"/>
    </row>
    <row r="835" ht="15.75" customHeight="1">
      <c r="D835" s="89"/>
      <c r="F835" s="92"/>
      <c r="G835" s="92"/>
      <c r="H835" s="110"/>
      <c r="J835" s="90"/>
      <c r="K835" s="90"/>
    </row>
    <row r="836" ht="15.75" customHeight="1">
      <c r="D836" s="89"/>
      <c r="F836" s="92"/>
      <c r="G836" s="92"/>
      <c r="H836" s="110"/>
      <c r="J836" s="90"/>
      <c r="K836" s="90"/>
    </row>
    <row r="837" ht="15.75" customHeight="1">
      <c r="D837" s="89"/>
      <c r="F837" s="92"/>
      <c r="G837" s="92"/>
      <c r="H837" s="110"/>
      <c r="J837" s="90"/>
      <c r="K837" s="90"/>
    </row>
    <row r="838" ht="15.75" customHeight="1">
      <c r="D838" s="89"/>
      <c r="F838" s="92"/>
      <c r="G838" s="92"/>
      <c r="H838" s="110"/>
      <c r="J838" s="90"/>
      <c r="K838" s="90"/>
    </row>
    <row r="839" ht="15.75" customHeight="1">
      <c r="D839" s="89"/>
      <c r="F839" s="92"/>
      <c r="G839" s="92"/>
      <c r="H839" s="110"/>
      <c r="J839" s="90"/>
      <c r="K839" s="90"/>
    </row>
    <row r="840" ht="15.75" customHeight="1">
      <c r="D840" s="89"/>
      <c r="F840" s="92"/>
      <c r="G840" s="92"/>
      <c r="H840" s="110"/>
      <c r="J840" s="90"/>
      <c r="K840" s="90"/>
    </row>
    <row r="841" ht="15.75" customHeight="1">
      <c r="D841" s="89"/>
      <c r="F841" s="92"/>
      <c r="G841" s="92"/>
      <c r="H841" s="110"/>
      <c r="J841" s="90"/>
      <c r="K841" s="90"/>
    </row>
    <row r="842" ht="15.75" customHeight="1">
      <c r="D842" s="89"/>
      <c r="F842" s="92"/>
      <c r="G842" s="92"/>
      <c r="H842" s="110"/>
      <c r="J842" s="90"/>
      <c r="K842" s="90"/>
    </row>
    <row r="843" ht="15.75" customHeight="1">
      <c r="D843" s="89"/>
      <c r="F843" s="92"/>
      <c r="G843" s="92"/>
      <c r="H843" s="110"/>
      <c r="J843" s="90"/>
      <c r="K843" s="90"/>
    </row>
    <row r="844" ht="15.75" customHeight="1">
      <c r="D844" s="89"/>
      <c r="F844" s="92"/>
      <c r="G844" s="92"/>
      <c r="H844" s="110"/>
      <c r="J844" s="90"/>
      <c r="K844" s="90"/>
    </row>
    <row r="845" ht="15.75" customHeight="1">
      <c r="D845" s="89"/>
      <c r="F845" s="92"/>
      <c r="G845" s="92"/>
      <c r="H845" s="110"/>
      <c r="J845" s="90"/>
      <c r="K845" s="90"/>
    </row>
    <row r="846" ht="15.75" customHeight="1">
      <c r="D846" s="89"/>
      <c r="F846" s="92"/>
      <c r="G846" s="92"/>
      <c r="H846" s="110"/>
      <c r="J846" s="90"/>
      <c r="K846" s="90"/>
    </row>
    <row r="847" ht="15.75" customHeight="1">
      <c r="D847" s="89"/>
      <c r="F847" s="92"/>
      <c r="G847" s="92"/>
      <c r="H847" s="110"/>
      <c r="J847" s="90"/>
      <c r="K847" s="90"/>
    </row>
    <row r="848" ht="15.75" customHeight="1">
      <c r="D848" s="89"/>
      <c r="F848" s="92"/>
      <c r="G848" s="92"/>
      <c r="H848" s="110"/>
      <c r="J848" s="90"/>
      <c r="K848" s="90"/>
    </row>
    <row r="849" ht="15.75" customHeight="1">
      <c r="D849" s="89"/>
      <c r="F849" s="92"/>
      <c r="G849" s="92"/>
      <c r="H849" s="110"/>
      <c r="J849" s="90"/>
      <c r="K849" s="90"/>
    </row>
    <row r="850" ht="15.75" customHeight="1">
      <c r="D850" s="89"/>
      <c r="F850" s="92"/>
      <c r="G850" s="92"/>
      <c r="H850" s="110"/>
      <c r="J850" s="90"/>
      <c r="K850" s="90"/>
    </row>
    <row r="851" ht="15.75" customHeight="1">
      <c r="D851" s="89"/>
      <c r="F851" s="92"/>
      <c r="G851" s="92"/>
      <c r="H851" s="110"/>
      <c r="J851" s="90"/>
      <c r="K851" s="90"/>
    </row>
    <row r="852" ht="15.75" customHeight="1">
      <c r="D852" s="89"/>
      <c r="F852" s="92"/>
      <c r="G852" s="92"/>
      <c r="H852" s="110"/>
      <c r="J852" s="90"/>
      <c r="K852" s="90"/>
    </row>
    <row r="853" ht="15.75" customHeight="1">
      <c r="D853" s="89"/>
      <c r="F853" s="92"/>
      <c r="G853" s="92"/>
      <c r="H853" s="110"/>
      <c r="J853" s="90"/>
      <c r="K853" s="90"/>
    </row>
    <row r="854" ht="15.75" customHeight="1">
      <c r="D854" s="89"/>
      <c r="F854" s="92"/>
      <c r="G854" s="92"/>
      <c r="H854" s="110"/>
      <c r="J854" s="90"/>
      <c r="K854" s="90"/>
    </row>
    <row r="855" ht="15.75" customHeight="1">
      <c r="D855" s="89"/>
      <c r="F855" s="92"/>
      <c r="G855" s="92"/>
      <c r="H855" s="110"/>
      <c r="J855" s="90"/>
      <c r="K855" s="90"/>
    </row>
    <row r="856" ht="15.75" customHeight="1">
      <c r="D856" s="89"/>
      <c r="F856" s="92"/>
      <c r="G856" s="92"/>
      <c r="H856" s="110"/>
      <c r="J856" s="90"/>
      <c r="K856" s="90"/>
    </row>
    <row r="857" ht="15.75" customHeight="1">
      <c r="D857" s="89"/>
      <c r="F857" s="92"/>
      <c r="G857" s="92"/>
      <c r="H857" s="110"/>
      <c r="J857" s="90"/>
      <c r="K857" s="90"/>
    </row>
    <row r="858" ht="15.75" customHeight="1">
      <c r="D858" s="89"/>
      <c r="F858" s="92"/>
      <c r="G858" s="92"/>
      <c r="H858" s="110"/>
      <c r="J858" s="90"/>
      <c r="K858" s="90"/>
    </row>
    <row r="859" ht="15.75" customHeight="1">
      <c r="D859" s="89"/>
      <c r="F859" s="92"/>
      <c r="G859" s="92"/>
      <c r="H859" s="110"/>
      <c r="J859" s="90"/>
      <c r="K859" s="90"/>
    </row>
    <row r="860" ht="15.75" customHeight="1">
      <c r="D860" s="89"/>
      <c r="F860" s="92"/>
      <c r="G860" s="92"/>
      <c r="H860" s="110"/>
      <c r="J860" s="90"/>
      <c r="K860" s="90"/>
    </row>
    <row r="861" ht="15.75" customHeight="1">
      <c r="D861" s="89"/>
      <c r="F861" s="92"/>
      <c r="G861" s="92"/>
      <c r="H861" s="110"/>
      <c r="J861" s="90"/>
      <c r="K861" s="90"/>
    </row>
    <row r="862" ht="15.75" customHeight="1">
      <c r="D862" s="89"/>
      <c r="F862" s="92"/>
      <c r="G862" s="92"/>
      <c r="H862" s="110"/>
      <c r="J862" s="90"/>
      <c r="K862" s="90"/>
    </row>
    <row r="863" ht="15.75" customHeight="1">
      <c r="D863" s="89"/>
      <c r="F863" s="92"/>
      <c r="G863" s="92"/>
      <c r="H863" s="110"/>
      <c r="J863" s="90"/>
      <c r="K863" s="90"/>
    </row>
    <row r="864" ht="15.75" customHeight="1">
      <c r="D864" s="89"/>
      <c r="F864" s="92"/>
      <c r="G864" s="92"/>
      <c r="H864" s="110"/>
      <c r="J864" s="90"/>
      <c r="K864" s="90"/>
    </row>
    <row r="865" ht="15.75" customHeight="1">
      <c r="D865" s="89"/>
      <c r="F865" s="92"/>
      <c r="G865" s="92"/>
      <c r="H865" s="110"/>
      <c r="J865" s="90"/>
      <c r="K865" s="90"/>
    </row>
    <row r="866" ht="15.75" customHeight="1">
      <c r="D866" s="89"/>
      <c r="F866" s="92"/>
      <c r="G866" s="92"/>
      <c r="H866" s="110"/>
      <c r="J866" s="90"/>
      <c r="K866" s="90"/>
    </row>
    <row r="867" ht="15.75" customHeight="1">
      <c r="D867" s="89"/>
      <c r="F867" s="92"/>
      <c r="G867" s="92"/>
      <c r="H867" s="110"/>
      <c r="J867" s="90"/>
      <c r="K867" s="90"/>
    </row>
    <row r="868" ht="15.75" customHeight="1">
      <c r="D868" s="89"/>
      <c r="F868" s="92"/>
      <c r="G868" s="92"/>
      <c r="H868" s="110"/>
      <c r="J868" s="90"/>
      <c r="K868" s="90"/>
    </row>
    <row r="869" ht="15.75" customHeight="1">
      <c r="D869" s="89"/>
      <c r="F869" s="92"/>
      <c r="G869" s="92"/>
      <c r="H869" s="110"/>
      <c r="J869" s="90"/>
      <c r="K869" s="90"/>
    </row>
    <row r="870" ht="15.75" customHeight="1">
      <c r="D870" s="89"/>
      <c r="F870" s="92"/>
      <c r="G870" s="92"/>
      <c r="H870" s="110"/>
      <c r="J870" s="90"/>
      <c r="K870" s="90"/>
    </row>
    <row r="871" ht="15.75" customHeight="1">
      <c r="D871" s="89"/>
      <c r="F871" s="92"/>
      <c r="G871" s="92"/>
      <c r="H871" s="110"/>
      <c r="J871" s="90"/>
      <c r="K871" s="90"/>
    </row>
    <row r="872" ht="15.75" customHeight="1">
      <c r="D872" s="89"/>
      <c r="F872" s="92"/>
      <c r="G872" s="92"/>
      <c r="H872" s="110"/>
      <c r="J872" s="90"/>
      <c r="K872" s="90"/>
    </row>
    <row r="873" ht="15.75" customHeight="1">
      <c r="D873" s="89"/>
      <c r="F873" s="92"/>
      <c r="G873" s="92"/>
      <c r="H873" s="110"/>
      <c r="J873" s="90"/>
      <c r="K873" s="90"/>
    </row>
    <row r="874" ht="15.75" customHeight="1">
      <c r="D874" s="89"/>
      <c r="F874" s="92"/>
      <c r="G874" s="92"/>
      <c r="H874" s="110"/>
      <c r="J874" s="90"/>
      <c r="K874" s="90"/>
    </row>
    <row r="875" ht="15.75" customHeight="1">
      <c r="D875" s="89"/>
      <c r="F875" s="92"/>
      <c r="G875" s="92"/>
      <c r="H875" s="110"/>
      <c r="J875" s="90"/>
      <c r="K875" s="90"/>
    </row>
    <row r="876" ht="15.75" customHeight="1">
      <c r="D876" s="89"/>
      <c r="F876" s="92"/>
      <c r="G876" s="92"/>
      <c r="H876" s="110"/>
      <c r="J876" s="90"/>
      <c r="K876" s="90"/>
    </row>
    <row r="877" ht="15.75" customHeight="1">
      <c r="D877" s="89"/>
      <c r="F877" s="92"/>
      <c r="G877" s="92"/>
      <c r="H877" s="110"/>
      <c r="J877" s="90"/>
      <c r="K877" s="90"/>
    </row>
    <row r="878" ht="15.75" customHeight="1">
      <c r="D878" s="89"/>
      <c r="F878" s="92"/>
      <c r="G878" s="92"/>
      <c r="H878" s="110"/>
      <c r="J878" s="90"/>
      <c r="K878" s="90"/>
    </row>
    <row r="879" ht="15.75" customHeight="1">
      <c r="D879" s="89"/>
      <c r="F879" s="92"/>
      <c r="G879" s="92"/>
      <c r="H879" s="110"/>
      <c r="J879" s="90"/>
      <c r="K879" s="90"/>
    </row>
    <row r="880" ht="15.75" customHeight="1">
      <c r="D880" s="89"/>
      <c r="F880" s="92"/>
      <c r="G880" s="92"/>
      <c r="H880" s="110"/>
      <c r="J880" s="90"/>
      <c r="K880" s="90"/>
    </row>
    <row r="881" ht="15.75" customHeight="1">
      <c r="D881" s="89"/>
      <c r="F881" s="92"/>
      <c r="G881" s="92"/>
      <c r="H881" s="110"/>
      <c r="J881" s="90"/>
      <c r="K881" s="90"/>
    </row>
    <row r="882" ht="15.75" customHeight="1">
      <c r="D882" s="89"/>
      <c r="F882" s="92"/>
      <c r="G882" s="92"/>
      <c r="H882" s="110"/>
      <c r="J882" s="90"/>
      <c r="K882" s="90"/>
    </row>
    <row r="883" ht="15.75" customHeight="1">
      <c r="D883" s="89"/>
      <c r="F883" s="92"/>
      <c r="G883" s="92"/>
      <c r="H883" s="110"/>
      <c r="J883" s="90"/>
      <c r="K883" s="90"/>
    </row>
    <row r="884" ht="15.75" customHeight="1">
      <c r="D884" s="89"/>
      <c r="F884" s="92"/>
      <c r="G884" s="92"/>
      <c r="H884" s="110"/>
      <c r="J884" s="90"/>
      <c r="K884" s="90"/>
    </row>
    <row r="885" ht="15.75" customHeight="1">
      <c r="D885" s="89"/>
      <c r="F885" s="92"/>
      <c r="G885" s="92"/>
      <c r="H885" s="110"/>
      <c r="J885" s="90"/>
      <c r="K885" s="90"/>
    </row>
    <row r="886" ht="15.75" customHeight="1">
      <c r="D886" s="89"/>
      <c r="F886" s="92"/>
      <c r="G886" s="92"/>
      <c r="H886" s="110"/>
      <c r="J886" s="90"/>
      <c r="K886" s="90"/>
    </row>
    <row r="887" ht="15.75" customHeight="1">
      <c r="D887" s="89"/>
      <c r="F887" s="92"/>
      <c r="G887" s="92"/>
      <c r="H887" s="110"/>
      <c r="J887" s="90"/>
      <c r="K887" s="90"/>
    </row>
    <row r="888" ht="15.75" customHeight="1">
      <c r="D888" s="89"/>
      <c r="F888" s="92"/>
      <c r="G888" s="92"/>
      <c r="H888" s="110"/>
      <c r="J888" s="90"/>
      <c r="K888" s="90"/>
    </row>
    <row r="889" ht="15.75" customHeight="1">
      <c r="D889" s="89"/>
      <c r="F889" s="92"/>
      <c r="G889" s="92"/>
      <c r="H889" s="110"/>
      <c r="J889" s="90"/>
      <c r="K889" s="90"/>
    </row>
    <row r="890" ht="15.75" customHeight="1">
      <c r="D890" s="89"/>
      <c r="F890" s="92"/>
      <c r="G890" s="92"/>
      <c r="H890" s="110"/>
      <c r="J890" s="90"/>
      <c r="K890" s="90"/>
    </row>
    <row r="891" ht="15.75" customHeight="1">
      <c r="D891" s="89"/>
      <c r="F891" s="92"/>
      <c r="G891" s="92"/>
      <c r="H891" s="110"/>
      <c r="J891" s="90"/>
      <c r="K891" s="90"/>
    </row>
    <row r="892" ht="15.75" customHeight="1">
      <c r="D892" s="89"/>
      <c r="F892" s="92"/>
      <c r="G892" s="92"/>
      <c r="H892" s="110"/>
      <c r="J892" s="90"/>
      <c r="K892" s="90"/>
    </row>
    <row r="893" ht="15.75" customHeight="1">
      <c r="D893" s="89"/>
      <c r="F893" s="92"/>
      <c r="G893" s="92"/>
      <c r="H893" s="110"/>
      <c r="J893" s="90"/>
      <c r="K893" s="90"/>
    </row>
    <row r="894" ht="15.75" customHeight="1">
      <c r="D894" s="89"/>
      <c r="F894" s="92"/>
      <c r="G894" s="92"/>
      <c r="H894" s="110"/>
      <c r="J894" s="90"/>
      <c r="K894" s="90"/>
    </row>
    <row r="895" ht="15.75" customHeight="1">
      <c r="D895" s="89"/>
      <c r="F895" s="92"/>
      <c r="G895" s="92"/>
      <c r="H895" s="110"/>
      <c r="J895" s="90"/>
      <c r="K895" s="90"/>
    </row>
    <row r="896" ht="15.75" customHeight="1">
      <c r="D896" s="89"/>
      <c r="F896" s="92"/>
      <c r="G896" s="92"/>
      <c r="H896" s="110"/>
      <c r="J896" s="90"/>
      <c r="K896" s="90"/>
    </row>
    <row r="897" ht="15.75" customHeight="1">
      <c r="D897" s="89"/>
      <c r="F897" s="92"/>
      <c r="G897" s="92"/>
      <c r="H897" s="110"/>
      <c r="J897" s="90"/>
      <c r="K897" s="90"/>
    </row>
    <row r="898" ht="15.75" customHeight="1">
      <c r="D898" s="89"/>
      <c r="F898" s="92"/>
      <c r="G898" s="92"/>
      <c r="H898" s="110"/>
      <c r="J898" s="90"/>
      <c r="K898" s="90"/>
    </row>
    <row r="899" ht="15.75" customHeight="1">
      <c r="D899" s="89"/>
      <c r="F899" s="92"/>
      <c r="G899" s="92"/>
      <c r="H899" s="110"/>
      <c r="J899" s="90"/>
      <c r="K899" s="90"/>
    </row>
    <row r="900" ht="15.75" customHeight="1">
      <c r="D900" s="89"/>
      <c r="F900" s="92"/>
      <c r="G900" s="92"/>
      <c r="H900" s="110"/>
      <c r="J900" s="90"/>
      <c r="K900" s="90"/>
    </row>
    <row r="901" ht="15.75" customHeight="1">
      <c r="D901" s="89"/>
      <c r="F901" s="92"/>
      <c r="G901" s="92"/>
      <c r="H901" s="110"/>
      <c r="J901" s="90"/>
      <c r="K901" s="90"/>
    </row>
    <row r="902" ht="15.75" customHeight="1">
      <c r="D902" s="89"/>
      <c r="F902" s="92"/>
      <c r="G902" s="92"/>
      <c r="H902" s="110"/>
      <c r="J902" s="90"/>
      <c r="K902" s="90"/>
    </row>
    <row r="903" ht="15.75" customHeight="1">
      <c r="D903" s="89"/>
      <c r="F903" s="92"/>
      <c r="G903" s="92"/>
      <c r="H903" s="110"/>
      <c r="J903" s="90"/>
      <c r="K903" s="90"/>
    </row>
    <row r="904" ht="15.75" customHeight="1">
      <c r="D904" s="89"/>
      <c r="F904" s="92"/>
      <c r="G904" s="92"/>
      <c r="H904" s="110"/>
      <c r="J904" s="90"/>
      <c r="K904" s="90"/>
    </row>
    <row r="905" ht="15.75" customHeight="1">
      <c r="D905" s="89"/>
      <c r="F905" s="92"/>
      <c r="G905" s="92"/>
      <c r="H905" s="110"/>
      <c r="J905" s="90"/>
      <c r="K905" s="90"/>
    </row>
    <row r="906" ht="15.75" customHeight="1">
      <c r="D906" s="89"/>
      <c r="F906" s="92"/>
      <c r="G906" s="92"/>
      <c r="H906" s="110"/>
      <c r="J906" s="90"/>
      <c r="K906" s="90"/>
    </row>
    <row r="907" ht="15.75" customHeight="1">
      <c r="D907" s="89"/>
      <c r="F907" s="92"/>
      <c r="G907" s="92"/>
      <c r="H907" s="110"/>
      <c r="J907" s="90"/>
      <c r="K907" s="90"/>
    </row>
    <row r="908" ht="15.75" customHeight="1">
      <c r="D908" s="89"/>
      <c r="F908" s="92"/>
      <c r="G908" s="92"/>
      <c r="H908" s="110"/>
      <c r="J908" s="90"/>
      <c r="K908" s="90"/>
    </row>
    <row r="909" ht="15.75" customHeight="1">
      <c r="D909" s="89"/>
      <c r="F909" s="92"/>
      <c r="G909" s="92"/>
      <c r="H909" s="110"/>
      <c r="J909" s="90"/>
      <c r="K909" s="90"/>
    </row>
    <row r="910" ht="15.75" customHeight="1">
      <c r="D910" s="89"/>
      <c r="F910" s="92"/>
      <c r="G910" s="92"/>
      <c r="H910" s="110"/>
      <c r="J910" s="90"/>
      <c r="K910" s="90"/>
    </row>
    <row r="911" ht="15.75" customHeight="1">
      <c r="D911" s="89"/>
      <c r="F911" s="92"/>
      <c r="G911" s="92"/>
      <c r="H911" s="110"/>
      <c r="J911" s="90"/>
      <c r="K911" s="90"/>
    </row>
    <row r="912" ht="15.75" customHeight="1">
      <c r="D912" s="89"/>
      <c r="F912" s="92"/>
      <c r="G912" s="92"/>
      <c r="H912" s="110"/>
      <c r="J912" s="90"/>
      <c r="K912" s="90"/>
    </row>
    <row r="913" ht="15.75" customHeight="1">
      <c r="D913" s="89"/>
      <c r="F913" s="92"/>
      <c r="G913" s="92"/>
      <c r="H913" s="110"/>
      <c r="J913" s="90"/>
      <c r="K913" s="90"/>
    </row>
    <row r="914" ht="15.75" customHeight="1">
      <c r="D914" s="89"/>
      <c r="F914" s="92"/>
      <c r="G914" s="92"/>
      <c r="H914" s="110"/>
      <c r="J914" s="90"/>
      <c r="K914" s="90"/>
    </row>
    <row r="915" ht="15.75" customHeight="1">
      <c r="D915" s="89"/>
      <c r="F915" s="92"/>
      <c r="G915" s="92"/>
      <c r="H915" s="110"/>
      <c r="J915" s="90"/>
      <c r="K915" s="90"/>
    </row>
    <row r="916" ht="15.75" customHeight="1">
      <c r="D916" s="89"/>
      <c r="F916" s="92"/>
      <c r="G916" s="92"/>
      <c r="H916" s="110"/>
      <c r="J916" s="90"/>
      <c r="K916" s="90"/>
    </row>
    <row r="917" ht="15.75" customHeight="1">
      <c r="D917" s="89"/>
      <c r="F917" s="92"/>
      <c r="G917" s="92"/>
      <c r="H917" s="110"/>
      <c r="J917" s="90"/>
      <c r="K917" s="90"/>
    </row>
    <row r="918" ht="15.75" customHeight="1">
      <c r="D918" s="89"/>
      <c r="F918" s="92"/>
      <c r="G918" s="92"/>
      <c r="H918" s="110"/>
      <c r="J918" s="90"/>
      <c r="K918" s="90"/>
    </row>
    <row r="919" ht="15.75" customHeight="1">
      <c r="D919" s="89"/>
      <c r="F919" s="92"/>
      <c r="G919" s="92"/>
      <c r="H919" s="110"/>
      <c r="J919" s="90"/>
      <c r="K919" s="90"/>
    </row>
    <row r="920" ht="15.75" customHeight="1">
      <c r="D920" s="89"/>
      <c r="F920" s="92"/>
      <c r="G920" s="92"/>
      <c r="H920" s="110"/>
      <c r="J920" s="90"/>
      <c r="K920" s="90"/>
    </row>
    <row r="921" ht="15.75" customHeight="1">
      <c r="D921" s="89"/>
      <c r="F921" s="92"/>
      <c r="G921" s="92"/>
      <c r="H921" s="110"/>
      <c r="J921" s="90"/>
      <c r="K921" s="90"/>
    </row>
    <row r="922" ht="15.75" customHeight="1">
      <c r="D922" s="89"/>
      <c r="F922" s="92"/>
      <c r="G922" s="92"/>
      <c r="H922" s="110"/>
      <c r="J922" s="90"/>
      <c r="K922" s="90"/>
    </row>
    <row r="923" ht="15.75" customHeight="1">
      <c r="D923" s="89"/>
      <c r="F923" s="92"/>
      <c r="G923" s="92"/>
      <c r="H923" s="110"/>
      <c r="J923" s="90"/>
      <c r="K923" s="90"/>
    </row>
    <row r="924" ht="15.75" customHeight="1">
      <c r="D924" s="89"/>
      <c r="F924" s="92"/>
      <c r="G924" s="92"/>
      <c r="H924" s="110"/>
      <c r="J924" s="90"/>
      <c r="K924" s="90"/>
    </row>
    <row r="925" ht="15.75" customHeight="1">
      <c r="D925" s="89"/>
      <c r="F925" s="92"/>
      <c r="G925" s="92"/>
      <c r="H925" s="110"/>
      <c r="J925" s="90"/>
      <c r="K925" s="90"/>
    </row>
    <row r="926" ht="15.75" customHeight="1">
      <c r="D926" s="89"/>
      <c r="F926" s="92"/>
      <c r="G926" s="92"/>
      <c r="H926" s="110"/>
      <c r="J926" s="90"/>
      <c r="K926" s="90"/>
    </row>
    <row r="927" ht="15.75" customHeight="1">
      <c r="D927" s="89"/>
      <c r="F927" s="92"/>
      <c r="G927" s="92"/>
      <c r="H927" s="110"/>
      <c r="J927" s="90"/>
      <c r="K927" s="90"/>
    </row>
    <row r="928" ht="15.75" customHeight="1">
      <c r="D928" s="89"/>
      <c r="F928" s="92"/>
      <c r="G928" s="92"/>
      <c r="H928" s="110"/>
      <c r="J928" s="90"/>
      <c r="K928" s="90"/>
    </row>
    <row r="929" ht="15.75" customHeight="1">
      <c r="D929" s="89"/>
      <c r="F929" s="92"/>
      <c r="G929" s="92"/>
      <c r="H929" s="110"/>
      <c r="J929" s="90"/>
      <c r="K929" s="90"/>
    </row>
    <row r="930" ht="15.75" customHeight="1">
      <c r="D930" s="89"/>
      <c r="F930" s="92"/>
      <c r="G930" s="92"/>
      <c r="H930" s="110"/>
      <c r="J930" s="90"/>
      <c r="K930" s="90"/>
    </row>
    <row r="931" ht="15.75" customHeight="1">
      <c r="D931" s="89"/>
      <c r="F931" s="92"/>
      <c r="G931" s="92"/>
      <c r="H931" s="110"/>
      <c r="J931" s="90"/>
      <c r="K931" s="90"/>
    </row>
    <row r="932" ht="15.75" customHeight="1">
      <c r="D932" s="89"/>
      <c r="F932" s="92"/>
      <c r="G932" s="92"/>
      <c r="H932" s="110"/>
      <c r="J932" s="90"/>
      <c r="K932" s="90"/>
    </row>
    <row r="933" ht="15.75" customHeight="1">
      <c r="D933" s="89"/>
      <c r="F933" s="92"/>
      <c r="G933" s="92"/>
      <c r="H933" s="110"/>
      <c r="J933" s="90"/>
      <c r="K933" s="90"/>
    </row>
    <row r="934" ht="15.75" customHeight="1">
      <c r="D934" s="89"/>
      <c r="F934" s="92"/>
      <c r="G934" s="92"/>
      <c r="H934" s="110"/>
      <c r="J934" s="90"/>
      <c r="K934" s="90"/>
    </row>
    <row r="935" ht="15.75" customHeight="1">
      <c r="D935" s="89"/>
      <c r="F935" s="92"/>
      <c r="G935" s="92"/>
      <c r="H935" s="110"/>
      <c r="J935" s="90"/>
      <c r="K935" s="90"/>
    </row>
    <row r="936" ht="15.75" customHeight="1">
      <c r="D936" s="89"/>
      <c r="F936" s="92"/>
      <c r="G936" s="92"/>
      <c r="H936" s="110"/>
      <c r="J936" s="90"/>
      <c r="K936" s="90"/>
    </row>
    <row r="937" ht="15.75" customHeight="1">
      <c r="D937" s="89"/>
      <c r="F937" s="92"/>
      <c r="G937" s="92"/>
      <c r="H937" s="110"/>
      <c r="J937" s="90"/>
      <c r="K937" s="90"/>
    </row>
    <row r="938" ht="15.75" customHeight="1">
      <c r="D938" s="89"/>
      <c r="F938" s="92"/>
      <c r="G938" s="92"/>
      <c r="H938" s="110"/>
      <c r="J938" s="90"/>
      <c r="K938" s="90"/>
    </row>
    <row r="939" ht="15.75" customHeight="1">
      <c r="D939" s="89"/>
      <c r="F939" s="92"/>
      <c r="G939" s="92"/>
      <c r="H939" s="110"/>
      <c r="J939" s="90"/>
      <c r="K939" s="90"/>
    </row>
    <row r="940" ht="15.75" customHeight="1">
      <c r="D940" s="89"/>
      <c r="F940" s="92"/>
      <c r="G940" s="92"/>
      <c r="H940" s="110"/>
      <c r="J940" s="90"/>
      <c r="K940" s="90"/>
    </row>
    <row r="941" ht="15.75" customHeight="1">
      <c r="D941" s="89"/>
      <c r="F941" s="92"/>
      <c r="G941" s="92"/>
      <c r="H941" s="110"/>
      <c r="J941" s="90"/>
      <c r="K941" s="90"/>
    </row>
    <row r="942" ht="15.75" customHeight="1">
      <c r="D942" s="89"/>
      <c r="F942" s="92"/>
      <c r="G942" s="92"/>
      <c r="H942" s="110"/>
      <c r="J942" s="90"/>
      <c r="K942" s="90"/>
    </row>
    <row r="943" ht="15.75" customHeight="1">
      <c r="D943" s="89"/>
      <c r="F943" s="92"/>
      <c r="G943" s="92"/>
      <c r="H943" s="110"/>
      <c r="J943" s="90"/>
      <c r="K943" s="90"/>
    </row>
    <row r="944" ht="15.75" customHeight="1">
      <c r="D944" s="89"/>
      <c r="F944" s="92"/>
      <c r="G944" s="92"/>
      <c r="H944" s="110"/>
      <c r="J944" s="90"/>
      <c r="K944" s="90"/>
    </row>
    <row r="945" ht="15.75" customHeight="1">
      <c r="D945" s="89"/>
      <c r="F945" s="92"/>
      <c r="G945" s="92"/>
      <c r="H945" s="110"/>
      <c r="J945" s="90"/>
      <c r="K945" s="90"/>
    </row>
    <row r="946" ht="15.75" customHeight="1">
      <c r="D946" s="89"/>
      <c r="F946" s="92"/>
      <c r="G946" s="92"/>
      <c r="H946" s="110"/>
      <c r="J946" s="90"/>
      <c r="K946" s="90"/>
    </row>
    <row r="947" ht="15.75" customHeight="1">
      <c r="D947" s="89"/>
      <c r="F947" s="92"/>
      <c r="G947" s="92"/>
      <c r="H947" s="110"/>
      <c r="J947" s="90"/>
      <c r="K947" s="90"/>
    </row>
    <row r="948" ht="15.75" customHeight="1">
      <c r="D948" s="89"/>
      <c r="F948" s="92"/>
      <c r="G948" s="92"/>
      <c r="H948" s="110"/>
      <c r="J948" s="90"/>
      <c r="K948" s="90"/>
    </row>
    <row r="949" ht="15.75" customHeight="1">
      <c r="D949" s="89"/>
      <c r="F949" s="92"/>
      <c r="G949" s="92"/>
      <c r="H949" s="110"/>
      <c r="J949" s="90"/>
      <c r="K949" s="90"/>
    </row>
    <row r="950" ht="15.75" customHeight="1">
      <c r="D950" s="89"/>
      <c r="F950" s="92"/>
      <c r="G950" s="92"/>
      <c r="H950" s="110"/>
      <c r="J950" s="90"/>
      <c r="K950" s="90"/>
    </row>
    <row r="951" ht="15.75" customHeight="1">
      <c r="D951" s="89"/>
      <c r="F951" s="92"/>
      <c r="G951" s="92"/>
      <c r="H951" s="110"/>
      <c r="J951" s="90"/>
      <c r="K951" s="90"/>
    </row>
    <row r="952" ht="15.75" customHeight="1">
      <c r="D952" s="89"/>
      <c r="F952" s="92"/>
      <c r="G952" s="92"/>
      <c r="H952" s="110"/>
      <c r="J952" s="90"/>
      <c r="K952" s="90"/>
    </row>
    <row r="953" ht="15.75" customHeight="1">
      <c r="D953" s="89"/>
      <c r="F953" s="92"/>
      <c r="G953" s="92"/>
      <c r="H953" s="110"/>
      <c r="J953" s="90"/>
      <c r="K953" s="90"/>
    </row>
    <row r="954" ht="15.75" customHeight="1">
      <c r="D954" s="89"/>
      <c r="F954" s="92"/>
      <c r="G954" s="92"/>
      <c r="H954" s="110"/>
      <c r="J954" s="90"/>
      <c r="K954" s="90"/>
    </row>
    <row r="955" ht="15.75" customHeight="1">
      <c r="D955" s="89"/>
      <c r="F955" s="92"/>
      <c r="G955" s="92"/>
      <c r="H955" s="110"/>
      <c r="J955" s="90"/>
      <c r="K955" s="90"/>
    </row>
    <row r="956" ht="15.75" customHeight="1">
      <c r="D956" s="89"/>
      <c r="F956" s="92"/>
      <c r="G956" s="92"/>
      <c r="H956" s="110"/>
      <c r="J956" s="90"/>
      <c r="K956" s="90"/>
    </row>
    <row r="957" ht="15.75" customHeight="1">
      <c r="D957" s="89"/>
      <c r="F957" s="92"/>
      <c r="G957" s="92"/>
      <c r="H957" s="110"/>
      <c r="J957" s="90"/>
      <c r="K957" s="90"/>
    </row>
    <row r="958" ht="15.75" customHeight="1">
      <c r="D958" s="89"/>
      <c r="F958" s="92"/>
      <c r="G958" s="92"/>
      <c r="H958" s="110"/>
      <c r="J958" s="90"/>
      <c r="K958" s="90"/>
    </row>
    <row r="959" ht="15.75" customHeight="1">
      <c r="D959" s="89"/>
      <c r="F959" s="92"/>
      <c r="G959" s="92"/>
      <c r="H959" s="110"/>
      <c r="J959" s="90"/>
      <c r="K959" s="90"/>
    </row>
    <row r="960" ht="15.75" customHeight="1">
      <c r="D960" s="89"/>
      <c r="F960" s="92"/>
      <c r="G960" s="92"/>
      <c r="H960" s="110"/>
      <c r="J960" s="90"/>
      <c r="K960" s="90"/>
    </row>
    <row r="961" ht="15.75" customHeight="1">
      <c r="D961" s="89"/>
      <c r="F961" s="92"/>
      <c r="G961" s="92"/>
      <c r="H961" s="110"/>
      <c r="J961" s="90"/>
      <c r="K961" s="90"/>
    </row>
    <row r="962" ht="15.75" customHeight="1">
      <c r="D962" s="89"/>
      <c r="F962" s="92"/>
      <c r="G962" s="92"/>
      <c r="H962" s="110"/>
      <c r="J962" s="90"/>
      <c r="K962" s="90"/>
    </row>
    <row r="963" ht="15.75" customHeight="1">
      <c r="D963" s="89"/>
      <c r="F963" s="92"/>
      <c r="G963" s="92"/>
      <c r="H963" s="110"/>
      <c r="J963" s="90"/>
      <c r="K963" s="90"/>
    </row>
    <row r="964" ht="15.75" customHeight="1">
      <c r="D964" s="89"/>
      <c r="F964" s="92"/>
      <c r="G964" s="92"/>
      <c r="H964" s="110"/>
      <c r="J964" s="90"/>
      <c r="K964" s="90"/>
    </row>
    <row r="965" ht="15.75" customHeight="1">
      <c r="D965" s="89"/>
      <c r="F965" s="92"/>
      <c r="G965" s="92"/>
      <c r="H965" s="110"/>
      <c r="J965" s="90"/>
      <c r="K965" s="90"/>
    </row>
    <row r="966" ht="15.75" customHeight="1">
      <c r="D966" s="89"/>
      <c r="F966" s="92"/>
      <c r="G966" s="92"/>
      <c r="H966" s="110"/>
      <c r="J966" s="90"/>
      <c r="K966" s="90"/>
    </row>
    <row r="967" ht="15.75" customHeight="1">
      <c r="D967" s="89"/>
      <c r="F967" s="92"/>
      <c r="G967" s="92"/>
      <c r="H967" s="110"/>
      <c r="J967" s="90"/>
      <c r="K967" s="90"/>
    </row>
    <row r="968" ht="15.75" customHeight="1">
      <c r="D968" s="89"/>
      <c r="F968" s="92"/>
      <c r="G968" s="92"/>
      <c r="H968" s="110"/>
      <c r="J968" s="90"/>
      <c r="K968" s="90"/>
    </row>
    <row r="969" ht="15.75" customHeight="1">
      <c r="D969" s="89"/>
      <c r="F969" s="92"/>
      <c r="G969" s="92"/>
      <c r="H969" s="110"/>
      <c r="J969" s="90"/>
      <c r="K969" s="90"/>
    </row>
    <row r="970" ht="15.75" customHeight="1">
      <c r="D970" s="89"/>
      <c r="F970" s="92"/>
      <c r="G970" s="92"/>
      <c r="H970" s="110"/>
      <c r="J970" s="90"/>
      <c r="K970" s="90"/>
    </row>
    <row r="971" ht="15.75" customHeight="1">
      <c r="D971" s="89"/>
      <c r="F971" s="92"/>
      <c r="G971" s="92"/>
      <c r="H971" s="110"/>
      <c r="J971" s="90"/>
      <c r="K971" s="90"/>
    </row>
    <row r="972" ht="15.75" customHeight="1">
      <c r="D972" s="89"/>
      <c r="F972" s="92"/>
      <c r="G972" s="92"/>
      <c r="H972" s="110"/>
      <c r="J972" s="90"/>
      <c r="K972" s="90"/>
    </row>
    <row r="973" ht="15.75" customHeight="1">
      <c r="D973" s="89"/>
      <c r="F973" s="92"/>
      <c r="G973" s="92"/>
      <c r="H973" s="110"/>
      <c r="J973" s="90"/>
      <c r="K973" s="90"/>
    </row>
    <row r="974" ht="15.75" customHeight="1">
      <c r="D974" s="89"/>
      <c r="F974" s="92"/>
      <c r="G974" s="92"/>
      <c r="H974" s="110"/>
      <c r="J974" s="90"/>
      <c r="K974" s="90"/>
    </row>
    <row r="975" ht="15.75" customHeight="1">
      <c r="D975" s="89"/>
      <c r="F975" s="92"/>
      <c r="G975" s="92"/>
      <c r="H975" s="110"/>
      <c r="J975" s="90"/>
      <c r="K975" s="90"/>
    </row>
    <row r="976" ht="15.75" customHeight="1">
      <c r="D976" s="89"/>
      <c r="F976" s="92"/>
      <c r="G976" s="92"/>
      <c r="H976" s="110"/>
      <c r="J976" s="90"/>
      <c r="K976" s="90"/>
    </row>
    <row r="977" ht="15.75" customHeight="1">
      <c r="D977" s="89"/>
      <c r="F977" s="92"/>
      <c r="G977" s="92"/>
      <c r="H977" s="110"/>
      <c r="J977" s="90"/>
      <c r="K977" s="90"/>
    </row>
    <row r="978" ht="15.75" customHeight="1">
      <c r="D978" s="89"/>
      <c r="F978" s="92"/>
      <c r="G978" s="92"/>
      <c r="H978" s="110"/>
      <c r="J978" s="90"/>
      <c r="K978" s="90"/>
    </row>
    <row r="979" ht="15.75" customHeight="1">
      <c r="D979" s="89"/>
      <c r="F979" s="92"/>
      <c r="G979" s="92"/>
      <c r="H979" s="110"/>
      <c r="J979" s="90"/>
      <c r="K979" s="90"/>
    </row>
    <row r="980" ht="15.75" customHeight="1">
      <c r="D980" s="89"/>
      <c r="F980" s="92"/>
      <c r="G980" s="92"/>
      <c r="H980" s="110"/>
      <c r="J980" s="90"/>
      <c r="K980" s="90"/>
    </row>
    <row r="981" ht="15.75" customHeight="1">
      <c r="D981" s="89"/>
      <c r="F981" s="92"/>
      <c r="G981" s="92"/>
      <c r="H981" s="110"/>
      <c r="J981" s="90"/>
      <c r="K981" s="90"/>
    </row>
    <row r="982" ht="15.75" customHeight="1">
      <c r="D982" s="89"/>
      <c r="F982" s="92"/>
      <c r="G982" s="92"/>
      <c r="H982" s="110"/>
      <c r="J982" s="90"/>
      <c r="K982" s="90"/>
    </row>
    <row r="983" ht="15.75" customHeight="1">
      <c r="D983" s="89"/>
      <c r="F983" s="92"/>
      <c r="G983" s="92"/>
      <c r="H983" s="110"/>
      <c r="J983" s="90"/>
      <c r="K983" s="90"/>
    </row>
    <row r="984" ht="15.75" customHeight="1">
      <c r="D984" s="89"/>
      <c r="F984" s="92"/>
      <c r="G984" s="92"/>
      <c r="H984" s="110"/>
      <c r="J984" s="90"/>
      <c r="K984" s="90"/>
    </row>
    <row r="985" ht="15.75" customHeight="1">
      <c r="D985" s="89"/>
      <c r="F985" s="92"/>
      <c r="G985" s="92"/>
      <c r="H985" s="110"/>
      <c r="J985" s="90"/>
      <c r="K985" s="90"/>
    </row>
    <row r="986" ht="15.75" customHeight="1">
      <c r="D986" s="89"/>
      <c r="F986" s="92"/>
      <c r="G986" s="92"/>
      <c r="H986" s="110"/>
      <c r="J986" s="90"/>
      <c r="K986" s="90"/>
    </row>
    <row r="987" ht="15.75" customHeight="1">
      <c r="D987" s="89"/>
      <c r="F987" s="92"/>
      <c r="G987" s="92"/>
      <c r="H987" s="110"/>
      <c r="J987" s="90"/>
      <c r="K987" s="90"/>
    </row>
    <row r="988" ht="15.75" customHeight="1">
      <c r="D988" s="89"/>
      <c r="F988" s="92"/>
      <c r="G988" s="92"/>
      <c r="H988" s="110"/>
      <c r="J988" s="90"/>
      <c r="K988" s="90"/>
    </row>
    <row r="989" ht="15.75" customHeight="1">
      <c r="D989" s="89"/>
      <c r="F989" s="92"/>
      <c r="G989" s="92"/>
      <c r="H989" s="110"/>
      <c r="J989" s="90"/>
      <c r="K989" s="90"/>
    </row>
    <row r="990" ht="15.75" customHeight="1">
      <c r="D990" s="89"/>
      <c r="F990" s="92"/>
      <c r="G990" s="92"/>
      <c r="H990" s="110"/>
      <c r="J990" s="90"/>
      <c r="K990" s="90"/>
    </row>
    <row r="991" ht="15.75" customHeight="1">
      <c r="D991" s="89"/>
      <c r="F991" s="92"/>
      <c r="G991" s="92"/>
      <c r="H991" s="110"/>
      <c r="J991" s="90"/>
      <c r="K991" s="90"/>
    </row>
    <row r="992" ht="15.75" customHeight="1">
      <c r="D992" s="89"/>
      <c r="F992" s="92"/>
      <c r="G992" s="92"/>
      <c r="H992" s="110"/>
      <c r="J992" s="90"/>
      <c r="K992" s="90"/>
    </row>
    <row r="993" ht="15.75" customHeight="1">
      <c r="D993" s="89"/>
      <c r="F993" s="92"/>
      <c r="G993" s="92"/>
      <c r="H993" s="110"/>
      <c r="J993" s="90"/>
      <c r="K993" s="90"/>
    </row>
    <row r="994" ht="15.75" customHeight="1">
      <c r="D994" s="89"/>
      <c r="F994" s="92"/>
      <c r="G994" s="92"/>
      <c r="H994" s="110"/>
      <c r="J994" s="90"/>
      <c r="K994" s="90"/>
    </row>
    <row r="995" ht="15.75" customHeight="1">
      <c r="D995" s="89"/>
      <c r="F995" s="92"/>
      <c r="G995" s="92"/>
      <c r="H995" s="110"/>
      <c r="J995" s="90"/>
      <c r="K995" s="90"/>
    </row>
    <row r="996" ht="15.75" customHeight="1">
      <c r="D996" s="89"/>
      <c r="F996" s="92"/>
      <c r="G996" s="92"/>
      <c r="H996" s="110"/>
      <c r="J996" s="90"/>
      <c r="K996" s="90"/>
    </row>
    <row r="997" ht="15.75" customHeight="1">
      <c r="D997" s="89"/>
      <c r="F997" s="92"/>
      <c r="G997" s="92"/>
      <c r="H997" s="110"/>
      <c r="J997" s="90"/>
      <c r="K997" s="90"/>
    </row>
    <row r="998" ht="15.75" customHeight="1">
      <c r="D998" s="89"/>
      <c r="F998" s="92"/>
      <c r="G998" s="92"/>
      <c r="H998" s="110"/>
      <c r="J998" s="90"/>
      <c r="K998" s="90"/>
    </row>
    <row r="999" ht="15.75" customHeight="1">
      <c r="D999" s="89"/>
      <c r="F999" s="92"/>
      <c r="G999" s="92"/>
      <c r="H999" s="110"/>
      <c r="J999" s="90"/>
      <c r="K999" s="90"/>
    </row>
    <row r="1000" ht="15.75" customHeight="1">
      <c r="D1000" s="89"/>
      <c r="F1000" s="92"/>
      <c r="G1000" s="92"/>
      <c r="H1000" s="110"/>
      <c r="J1000" s="90"/>
      <c r="K1000" s="90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46"/>
    <hyperlink r:id="rId24" ref="D47"/>
    <hyperlink r:id="rId25" ref="D48"/>
    <hyperlink r:id="rId26" ref="D49"/>
    <hyperlink r:id="rId27" location="sdpReview" ref="D50"/>
    <hyperlink r:id="rId28" ref="D51"/>
    <hyperlink r:id="rId29" ref="D52"/>
  </hyperlinks>
  <drawing r:id="rId30"/>
</worksheet>
</file>